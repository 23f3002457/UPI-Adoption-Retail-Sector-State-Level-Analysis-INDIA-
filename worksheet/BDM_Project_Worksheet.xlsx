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IIT MADRAS\BDM PROJECT\"/>
    </mc:Choice>
  </mc:AlternateContent>
  <xr:revisionPtr revIDLastSave="0" documentId="13_ncr:1_{68BB0121-B989-4A77-92F9-65D7D6CE288B}" xr6:coauthVersionLast="47" xr6:coauthVersionMax="47" xr10:uidLastSave="{00000000-0000-0000-0000-000000000000}"/>
  <bookViews>
    <workbookView xWindow="-110" yWindow="-110" windowWidth="25820" windowHeight="14620" firstSheet="4" activeTab="7" xr2:uid="{F26DD35F-10B4-49FD-AC9C-513F0478C77A}"/>
  </bookViews>
  <sheets>
    <sheet name="UPI_ NATIONAL_MONTHLY" sheetId="1" r:id="rId1"/>
    <sheet name="UPI_National_Fin_Annual" sheetId="2" r:id="rId2"/>
    <sheet name="REATIL GSVA WORK" sheetId="6" r:id="rId3"/>
    <sheet name="UPI_Retail_Ratio" sheetId="8" r:id="rId4"/>
    <sheet name="Retail_GSVA_STATES_PIVOT_TABLE" sheetId="5" r:id="rId5"/>
    <sheet name="Retail_GSVA_States" sheetId="3" r:id="rId6"/>
    <sheet name="STATEWISE UPI DATA 2023-24" sheetId="9" r:id="rId7"/>
    <sheet name="UPI_State_Snapshot_2023_24" sheetId="10" r:id="rId8"/>
  </sheets>
  <definedNames>
    <definedName name="_xlnm._FilterDatabase" localSheetId="2" hidden="1">'REATIL GSVA WORK'!$C$5:$J$40</definedName>
  </definedNames>
  <calcPr calcId="191029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7" i="9" l="1"/>
  <c r="U56" i="9"/>
  <c r="U55" i="9"/>
  <c r="U54" i="9"/>
  <c r="U53" i="9"/>
  <c r="U52" i="9"/>
  <c r="U51" i="9"/>
  <c r="U50" i="9"/>
  <c r="N80" i="6"/>
  <c r="N79" i="6"/>
  <c r="N78" i="6"/>
  <c r="N77" i="6"/>
  <c r="N76" i="6"/>
  <c r="N75" i="6"/>
  <c r="N74" i="6"/>
  <c r="N73" i="6"/>
  <c r="N70" i="6"/>
  <c r="N69" i="6"/>
  <c r="N68" i="6"/>
  <c r="N67" i="6"/>
  <c r="N66" i="6"/>
  <c r="N65" i="6"/>
  <c r="N64" i="6"/>
  <c r="N63" i="6"/>
  <c r="H7" i="6"/>
  <c r="G8" i="6"/>
  <c r="G7" i="6"/>
  <c r="D2" i="10"/>
  <c r="J7" i="6"/>
  <c r="J8" i="6"/>
  <c r="J9" i="6"/>
  <c r="J10" i="6"/>
  <c r="H10" i="6"/>
  <c r="F2" i="10"/>
  <c r="H8" i="6"/>
  <c r="I7" i="6" s="1"/>
  <c r="E2" i="10" s="1"/>
  <c r="H9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D7" i="8"/>
  <c r="D8" i="8"/>
  <c r="D9" i="8"/>
  <c r="D10" i="8"/>
  <c r="D11" i="8"/>
  <c r="D12" i="8"/>
  <c r="D13" i="8"/>
  <c r="D14" i="8"/>
  <c r="C14" i="2"/>
  <c r="B14" i="2"/>
  <c r="C13" i="2"/>
  <c r="B13" i="2"/>
  <c r="B12" i="2"/>
  <c r="C12" i="2"/>
  <c r="B10" i="2"/>
  <c r="C10" i="2"/>
  <c r="C3" i="2"/>
  <c r="C4" i="2"/>
  <c r="C5" i="2"/>
  <c r="C6" i="2"/>
  <c r="C7" i="2"/>
  <c r="C8" i="2"/>
  <c r="C9" i="2"/>
  <c r="C2" i="2"/>
  <c r="B7" i="2"/>
  <c r="B8" i="2"/>
  <c r="B9" i="2"/>
  <c r="B6" i="2"/>
  <c r="B5" i="2"/>
  <c r="B4" i="2"/>
  <c r="B3" i="2"/>
  <c r="B2" i="2"/>
  <c r="G2" i="10" l="1"/>
  <c r="F4" i="10"/>
  <c r="F6" i="10"/>
  <c r="F8" i="10"/>
  <c r="F9" i="10"/>
  <c r="F11" i="10"/>
  <c r="F12" i="10"/>
  <c r="F17" i="10"/>
  <c r="F21" i="10"/>
  <c r="F25" i="10"/>
  <c r="F26" i="10"/>
  <c r="F27" i="10"/>
  <c r="F28" i="10"/>
  <c r="F29" i="10"/>
  <c r="F30" i="10"/>
  <c r="F34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J46" i="9"/>
  <c r="K46" i="9"/>
  <c r="L46" i="9"/>
  <c r="M46" i="9"/>
  <c r="N46" i="9"/>
  <c r="O46" i="9"/>
  <c r="P46" i="9"/>
  <c r="Q46" i="9"/>
  <c r="R46" i="9"/>
  <c r="S46" i="9"/>
  <c r="T46" i="9"/>
  <c r="U46" i="9"/>
  <c r="I46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9" i="9"/>
  <c r="J11" i="6"/>
  <c r="F3" i="10" s="1"/>
  <c r="J12" i="6"/>
  <c r="F13" i="10" s="1"/>
  <c r="J13" i="6"/>
  <c r="F5" i="10" s="1"/>
  <c r="J14" i="6"/>
  <c r="F15" i="10" s="1"/>
  <c r="J15" i="6"/>
  <c r="F7" i="10" s="1"/>
  <c r="J16" i="6"/>
  <c r="F14" i="10" s="1"/>
  <c r="J17" i="6"/>
  <c r="F10" i="10" s="1"/>
  <c r="J18" i="6"/>
  <c r="J19" i="6"/>
  <c r="J20" i="6"/>
  <c r="J21" i="6"/>
  <c r="J22" i="6"/>
  <c r="F16" i="10" s="1"/>
  <c r="J23" i="6"/>
  <c r="J24" i="6"/>
  <c r="F19" i="10" s="1"/>
  <c r="J25" i="6"/>
  <c r="F18" i="10" s="1"/>
  <c r="J26" i="6"/>
  <c r="F20" i="10" s="1"/>
  <c r="J27" i="6"/>
  <c r="J28" i="6"/>
  <c r="F22" i="10" s="1"/>
  <c r="J29" i="6"/>
  <c r="F23" i="10" s="1"/>
  <c r="J30" i="6"/>
  <c r="J31" i="6"/>
  <c r="J32" i="6"/>
  <c r="F24" i="10" s="1"/>
  <c r="J33" i="6"/>
  <c r="F32" i="10" s="1"/>
  <c r="J34" i="6"/>
  <c r="J35" i="6"/>
  <c r="F31" i="10" s="1"/>
  <c r="J36" i="6"/>
  <c r="F33" i="10" s="1"/>
  <c r="J37" i="6"/>
  <c r="J38" i="6"/>
  <c r="J39" i="6"/>
  <c r="G37" i="6"/>
  <c r="G20" i="6"/>
  <c r="G39" i="6"/>
  <c r="G25" i="6"/>
  <c r="G19" i="6"/>
  <c r="G27" i="6"/>
  <c r="G26" i="6"/>
  <c r="G17" i="6"/>
  <c r="G32" i="6"/>
  <c r="G16" i="6"/>
  <c r="G29" i="6"/>
  <c r="G28" i="6"/>
  <c r="G24" i="6"/>
  <c r="G11" i="6"/>
  <c r="G14" i="6"/>
  <c r="G18" i="6"/>
  <c r="G34" i="6"/>
  <c r="G30" i="6"/>
  <c r="G33" i="6"/>
  <c r="G35" i="6"/>
  <c r="G22" i="6"/>
  <c r="G21" i="6"/>
  <c r="G15" i="6"/>
  <c r="G36" i="6"/>
  <c r="G9" i="6"/>
  <c r="G13" i="6"/>
  <c r="G31" i="6"/>
  <c r="G10" i="6"/>
  <c r="G23" i="6"/>
  <c r="G12" i="6"/>
  <c r="G40" i="6"/>
  <c r="G38" i="6"/>
  <c r="I24" i="6" l="1"/>
  <c r="E19" i="10" s="1"/>
  <c r="G19" i="10" s="1"/>
  <c r="I26" i="6"/>
  <c r="E20" i="10" s="1"/>
  <c r="G20" i="10" s="1"/>
  <c r="I22" i="6"/>
  <c r="E16" i="10" s="1"/>
  <c r="G16" i="10" s="1"/>
  <c r="I20" i="6"/>
  <c r="E9" i="10" s="1"/>
  <c r="G9" i="10" s="1"/>
  <c r="I18" i="6"/>
  <c r="E8" i="10" s="1"/>
  <c r="G8" i="10" s="1"/>
  <c r="I14" i="6"/>
  <c r="E15" i="10" s="1"/>
  <c r="G15" i="10" s="1"/>
  <c r="I13" i="6"/>
  <c r="E5" i="10" s="1"/>
  <c r="G5" i="10" s="1"/>
  <c r="I12" i="6"/>
  <c r="E13" i="10" s="1"/>
  <c r="G13" i="10" s="1"/>
  <c r="I32" i="6"/>
  <c r="E24" i="10" s="1"/>
  <c r="G24" i="10" s="1"/>
  <c r="I29" i="6"/>
  <c r="E23" i="10" s="1"/>
  <c r="G23" i="10" s="1"/>
  <c r="I8" i="6"/>
  <c r="E12" i="10" s="1"/>
  <c r="G12" i="10" s="1"/>
  <c r="I35" i="6"/>
  <c r="E31" i="10" s="1"/>
  <c r="G31" i="10" s="1"/>
  <c r="I19" i="6"/>
  <c r="E11" i="10" s="1"/>
  <c r="G11" i="10" s="1"/>
  <c r="I17" i="6"/>
  <c r="E10" i="10" s="1"/>
  <c r="G10" i="10" s="1"/>
  <c r="I16" i="6"/>
  <c r="E14" i="10" s="1"/>
  <c r="G14" i="10" s="1"/>
  <c r="I15" i="6"/>
  <c r="E7" i="10" s="1"/>
  <c r="G7" i="10" s="1"/>
  <c r="I34" i="6"/>
  <c r="E30" i="10" s="1"/>
  <c r="G30" i="10" s="1"/>
  <c r="I39" i="6"/>
  <c r="E27" i="10" s="1"/>
  <c r="G27" i="10" s="1"/>
  <c r="I11" i="6"/>
  <c r="E3" i="10" s="1"/>
  <c r="G3" i="10" s="1"/>
  <c r="I33" i="6"/>
  <c r="E32" i="10" s="1"/>
  <c r="G32" i="10" s="1"/>
  <c r="I31" i="6"/>
  <c r="E28" i="10" s="1"/>
  <c r="G28" i="10" s="1"/>
  <c r="I30" i="6"/>
  <c r="E29" i="10" s="1"/>
  <c r="G29" i="10" s="1"/>
  <c r="I28" i="6"/>
  <c r="E22" i="10" s="1"/>
  <c r="G22" i="10" s="1"/>
  <c r="I27" i="6"/>
  <c r="E25" i="10" s="1"/>
  <c r="G25" i="10" s="1"/>
  <c r="I25" i="6"/>
  <c r="E18" i="10" s="1"/>
  <c r="G18" i="10" s="1"/>
  <c r="I23" i="6"/>
  <c r="E21" i="10" s="1"/>
  <c r="G21" i="10" s="1"/>
  <c r="I21" i="6"/>
  <c r="E17" i="10" s="1"/>
  <c r="G17" i="10" s="1"/>
  <c r="I38" i="6"/>
  <c r="E34" i="10" s="1"/>
  <c r="G34" i="10" s="1"/>
  <c r="I10" i="6"/>
  <c r="E4" i="10" s="1"/>
  <c r="G4" i="10" s="1"/>
  <c r="I37" i="6"/>
  <c r="E26" i="10" s="1"/>
  <c r="G26" i="10" s="1"/>
  <c r="I9" i="6"/>
  <c r="E6" i="10" s="1"/>
  <c r="G6" i="10" s="1"/>
  <c r="I36" i="6"/>
  <c r="E33" i="10" s="1"/>
  <c r="G33" i="10" s="1"/>
</calcChain>
</file>

<file path=xl/sharedStrings.xml><?xml version="1.0" encoding="utf-8"?>
<sst xmlns="http://schemas.openxmlformats.org/spreadsheetml/2006/main" count="1879" uniqueCount="189">
  <si>
    <t>Month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</si>
  <si>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</si>
  <si>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</si>
  <si>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</si>
  <si>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</si>
  <si>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</si>
  <si>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</si>
  <si>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</si>
  <si>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</si>
  <si>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</si>
  <si>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</si>
  <si>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</si>
  <si>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</si>
  <si>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 xml:space="preserve"> State </t>
  </si>
  <si>
    <t xml:space="preserve"> Year 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</si>
  <si>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</si>
  <si>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</si>
  <si>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</si>
  <si>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</si>
  <si>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</si>
  <si>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</si>
  <si>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</si>
  <si>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</si>
  <si>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</si>
  <si>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</si>
  <si>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</si>
  <si>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</si>
  <si>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</si>
  <si>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</si>
  <si>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Andhra Pradesh</t>
  </si>
  <si>
    <t>S.No.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</si>
  <si>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</si>
  <si>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</si>
  <si>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</si>
  <si>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</si>
  <si>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</si>
  <si>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</si>
  <si>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</si>
  <si>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</si>
  <si>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</si>
  <si>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</si>
  <si>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</si>
  <si>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</si>
  <si>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</si>
  <si>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</si>
  <si>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</si>
  <si>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</si>
  <si>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</si>
  <si>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</si>
  <si>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</si>
  <si>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</si>
  <si>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</si>
  <si>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Andaman &amp; Nicobar Islands</t>
  </si>
  <si>
    <t>Puducherry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</si>
  <si>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</si>
  <si>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</si>
  <si>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</si>
  <si>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</si>
  <si>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</si>
  <si>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</si>
  <si>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</si>
  <si>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</si>
  <si>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</si>
  <si>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SUMMARY TABLE</t>
  </si>
  <si>
    <t>Row Labels</t>
  </si>
  <si>
    <t>Grand Total</t>
  </si>
  <si>
    <t>Column Labels</t>
  </si>
  <si>
    <t>ABSOLUTE INCREASE</t>
  </si>
  <si>
    <t>MULTIPLE</t>
  </si>
  <si>
    <t>NOTE: 2025 November and December data is not included</t>
  </si>
  <si>
    <t>ANNUAL TRANSACTIONS (in Mn.)</t>
  </si>
  <si>
    <t>Absolute Increase</t>
  </si>
  <si>
    <t>NOTES: SINCE SOME STATES DON'T HAVE GSVA DATA OF 2024-25 THESE CALCULATIONS EXCLUDE 2024-25 DATA OF ALL STATES</t>
  </si>
  <si>
    <t>Growth %</t>
  </si>
  <si>
    <t>States</t>
  </si>
  <si>
    <t>HIGH SIZE</t>
  </si>
  <si>
    <t>MEDIUM SIZE</t>
  </si>
  <si>
    <t>LOW SIZE</t>
  </si>
  <si>
    <t>HIGH GROWTH</t>
  </si>
  <si>
    <t>MEDIUM GROWTH</t>
  </si>
  <si>
    <t>LOW GROWTH</t>
  </si>
  <si>
    <t>Gujarat, Telangana</t>
  </si>
  <si>
    <t>Uttarakhand, Jharkhand, Meghalaya</t>
  </si>
  <si>
    <t>Tripura, Mizoram, Sikkim, Andaman &amp; Nicobar Islands</t>
  </si>
  <si>
    <t>Goa, Manipur</t>
  </si>
  <si>
    <t>Haryana, Delhi, Madhya Pradesh, Andhra Pradesh, Odisha, Chattishgarh, Himachal Pradesh</t>
  </si>
  <si>
    <t>Tamil Nadu, Uttar Pradesh, Karnataka, West Bengal, Kerala, Rajasthan</t>
  </si>
  <si>
    <t>Bihar, Punjab, Assam, Chandigarh, Jammu &amp; Kashmir</t>
  </si>
  <si>
    <t>Nagaland, Puducherry, Arunachal Pradesh</t>
  </si>
  <si>
    <t>State  Analysis</t>
  </si>
  <si>
    <t>High Growth + High Size → Star States</t>
  </si>
  <si>
    <t>High Growth + Low Size → Emerging States</t>
  </si>
  <si>
    <t>Low Growth + High Size → Mature / Saturated States</t>
  </si>
  <si>
    <t>Low Growth + Low Size → Lagging States</t>
  </si>
  <si>
    <t>Year</t>
  </si>
  <si>
    <t>UPI Value (in Cr.)</t>
  </si>
  <si>
    <t>UPI Share %</t>
  </si>
  <si>
    <t>CAGR (Compund Annual Growth Rate) %</t>
  </si>
  <si>
    <t>Sr. No.</t>
  </si>
  <si>
    <t>State / Union Territory</t>
  </si>
  <si>
    <t>Volume (in Mn )</t>
  </si>
  <si>
    <t>Volume Contribution (%)</t>
  </si>
  <si>
    <t>Value (in Cr.)</t>
  </si>
  <si>
    <t>Value Contribution (%)</t>
  </si>
  <si>
    <t>MAHARASHTRA</t>
  </si>
  <si>
    <t>KARNATAKA</t>
  </si>
  <si>
    <t>TELANGANA</t>
  </si>
  <si>
    <t>UTTAR PRADESH</t>
  </si>
  <si>
    <t>TAMIL NADU</t>
  </si>
  <si>
    <t>RAJASTHAN</t>
  </si>
  <si>
    <t>MADHYA PRADESH</t>
  </si>
  <si>
    <t>DELHI</t>
  </si>
  <si>
    <t>GUJARAT</t>
  </si>
  <si>
    <t>ANDHRA PRADESH</t>
  </si>
  <si>
    <t>BIHAR</t>
  </si>
  <si>
    <t>WEST BENGAL</t>
  </si>
  <si>
    <t>HARYANA</t>
  </si>
  <si>
    <t>KERALA</t>
  </si>
  <si>
    <t>ODISHA</t>
  </si>
  <si>
    <t>PUNJAB</t>
  </si>
  <si>
    <t>JHARKHAND</t>
  </si>
  <si>
    <t>ASSAM</t>
  </si>
  <si>
    <t>UTTARAKHAND</t>
  </si>
  <si>
    <t>CHHATTISGARH</t>
  </si>
  <si>
    <t>HIMACHAL PRADESH</t>
  </si>
  <si>
    <t>JAMMU AND KASHMIR</t>
  </si>
  <si>
    <t>GOA</t>
  </si>
  <si>
    <t>CHANDIGARH</t>
  </si>
  <si>
    <t>PUDUCHERRY</t>
  </si>
  <si>
    <t>MANIPUR</t>
  </si>
  <si>
    <t>ARUNACHAL PRADESH</t>
  </si>
  <si>
    <t>DADRA &amp; NAGAR HAVELI &amp; DAMAN &amp; DIU</t>
  </si>
  <si>
    <t>TRIPURA</t>
  </si>
  <si>
    <t>MEGHALAYA</t>
  </si>
  <si>
    <t>NAGALAND</t>
  </si>
  <si>
    <t>SIKKIM</t>
  </si>
  <si>
    <t>MIZORAM</t>
  </si>
  <si>
    <t>ANDAMAN &amp; NICOBAR</t>
  </si>
  <si>
    <t>LADAKH</t>
  </si>
  <si>
    <t>LAKSHADWEEP</t>
  </si>
  <si>
    <t>UNCLASSIFIED#</t>
  </si>
  <si>
    <t>STATE/UT</t>
  </si>
  <si>
    <t>STATEWISE UPI VALUE(in Cr.) Data 2023-24</t>
  </si>
  <si>
    <t>TOTAL (2023-24)</t>
  </si>
  <si>
    <t>TOTAL National</t>
  </si>
  <si>
    <t>UPI Value (2023-24)</t>
  </si>
  <si>
    <t>UPI Share % (state UPI value/Total National Value)</t>
  </si>
  <si>
    <t>Retail GSVA Growth Category</t>
  </si>
  <si>
    <t>Retail GSVA Size Category</t>
  </si>
  <si>
    <t>JAMMU &amp; KASHMIR</t>
  </si>
  <si>
    <t>Andaman &amp; Nicobar</t>
  </si>
  <si>
    <t>Ladakh, Lakshadweep, Dadra &amp; Nagar Haveli &amp; Daman &amp; Diu data were excluded from the state-wise analysis to ensure data comparability.</t>
  </si>
  <si>
    <t>Classification Type</t>
  </si>
  <si>
    <t xml:space="preserve"> Retail_GSVA(Rs. in lakh)</t>
  </si>
  <si>
    <t>Retail_GSVA (Rs. in lakh)</t>
  </si>
  <si>
    <t>ANNUAL VALUE (Rs. in Cr.)</t>
  </si>
  <si>
    <t>National Retail GSVA (Rs. in lakh)</t>
  </si>
  <si>
    <t>Sum of  Retail_GSVA (Rs. in lakh)</t>
  </si>
  <si>
    <t>Volume (In Mn.)</t>
  </si>
  <si>
    <t>Value (In Cr.)</t>
  </si>
  <si>
    <t>Sum of Value (In Cr.)</t>
  </si>
  <si>
    <t>Sum of Volume (In Mn.)</t>
  </si>
  <si>
    <t>CAGR = [(Ending Value / Beginning Value)^(1 / Number of Years)] – 1</t>
  </si>
  <si>
    <t>Financial YEAR</t>
  </si>
  <si>
    <t>Core Growth Engine</t>
  </si>
  <si>
    <t>Emerging Growth Market</t>
  </si>
  <si>
    <t>Digitally Mature Market</t>
  </si>
  <si>
    <t>Low Adoption &amp; Low Maturity</t>
  </si>
  <si>
    <t>Size Category</t>
  </si>
  <si>
    <t>Growth Category</t>
  </si>
  <si>
    <t xml:space="preserve"> </t>
  </si>
  <si>
    <t>Grand Total (All Years)</t>
  </si>
  <si>
    <t>Classification</t>
  </si>
  <si>
    <t>Meaning</t>
  </si>
  <si>
    <t>Large, fast-growing, digitally strong</t>
  </si>
  <si>
    <t>Growing fast but digitally weaker</t>
  </si>
  <si>
    <t>Structural + digital lag</t>
  </si>
  <si>
    <t>Strong digital usage, stable growth</t>
  </si>
  <si>
    <t>MEAN</t>
  </si>
  <si>
    <t>MEDIAN</t>
  </si>
  <si>
    <t>MAXIMUM</t>
  </si>
  <si>
    <t>Q1</t>
  </si>
  <si>
    <t>Q3</t>
  </si>
  <si>
    <t>IQR</t>
  </si>
  <si>
    <t>Std. Deviation</t>
  </si>
  <si>
    <t>Minimum</t>
  </si>
  <si>
    <t>DESCRIPIVE STATISTICS GSVA (2023-24)</t>
  </si>
  <si>
    <t>DESCRIPIVE STATISTICS GSVA Growth Column</t>
  </si>
  <si>
    <t>DESCRIPIVE STATISTICS UPI VALUE(2023-24) [Unclassified not included]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</si>
</sst>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%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rgb="FF212529"/>
      <name val="Arial"/>
      <family val="2"/>
    </font>
    <font>
      <sz val="9"/>
      <color theme="1"/>
      <name val="Arial"/>
      <family val="2"/>
    </font>
    <font>
      <b/>
      <sz val="10"/>
      <color theme="1"/>
      <name val="Arial Unicode MS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F6F8FE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4">
    <xf numFmtId="0" fontId="0" fillId="0" borderId="0" xfId="0"/>
    <xf numFmtId="4" fontId="0" fillId="0" borderId="0" xfId="0" applyNumberFormat="1"/>
    <xf numFmtId="0" fontId="3" fillId="0" borderId="1" xfId="0" applyFont="1" applyBorder="1" applyProtection="1">
      <protection locked="0"/>
    </xf>
    <xf numFmtId="0" fontId="3" fillId="0" borderId="1" xfId="0" applyFont="1" applyBorder="1"/>
    <xf numFmtId="1" fontId="0" fillId="0" borderId="0" xfId="0" applyNumberFormat="1"/>
    <xf numFmtId="0" fontId="1" fillId="0" borderId="0" xfId="0" applyFont="1"/>
    <xf numFmtId="0" fontId="3" fillId="0" borderId="2" xfId="0" applyFont="1" applyBorder="1"/>
    <xf numFmtId="0" fontId="3" fillId="0" borderId="3" xfId="0" applyFont="1" applyBorder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0" fontId="1" fillId="2" borderId="4" xfId="0" applyFont="1" applyFill="1" applyBorder="1"/>
    <xf numFmtId="164" fontId="0" fillId="0" borderId="0" xfId="0" applyNumberFormat="1"/>
    <xf numFmtId="0" fontId="7" fillId="0" borderId="0" xfId="0" applyFont="1"/>
    <xf numFmtId="0" fontId="8" fillId="3" borderId="0" xfId="0" applyFont="1" applyFill="1" applyAlignment="1">
      <alignment horizontal="center" vertical="center" wrapText="1"/>
    </xf>
    <xf numFmtId="4" fontId="8" fillId="3" borderId="0" xfId="0" applyNumberFormat="1" applyFont="1" applyFill="1" applyAlignment="1">
      <alignment horizontal="center" vertical="center" wrapText="1"/>
    </xf>
    <xf numFmtId="10" fontId="8" fillId="3" borderId="0" xfId="0" applyNumberFormat="1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10" fontId="8" fillId="4" borderId="0" xfId="0" applyNumberFormat="1" applyFont="1" applyFill="1" applyAlignment="1">
      <alignment horizontal="center" vertical="center" wrapText="1"/>
    </xf>
    <xf numFmtId="4" fontId="8" fillId="4" borderId="0" xfId="0" applyNumberFormat="1" applyFont="1" applyFill="1" applyAlignment="1">
      <alignment horizontal="center" vertical="center" wrapText="1"/>
    </xf>
    <xf numFmtId="17" fontId="0" fillId="0" borderId="0" xfId="0" applyNumberFormat="1"/>
    <xf numFmtId="17" fontId="1" fillId="0" borderId="0" xfId="0" applyNumberFormat="1" applyFont="1"/>
    <xf numFmtId="17" fontId="5" fillId="0" borderId="0" xfId="0" applyNumberFormat="1" applyFont="1"/>
    <xf numFmtId="0" fontId="10" fillId="0" borderId="0" xfId="0" applyFont="1" applyAlignment="1">
      <alignment horizontal="left" vertical="center" indent="1"/>
    </xf>
    <xf numFmtId="2" fontId="0" fillId="0" borderId="0" xfId="0" applyNumberFormat="1"/>
    <xf numFmtId="0" fontId="0" fillId="2" borderId="7" xfId="0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Total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'UPI_ NATIONAL_MONTHLY'!$U$26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'UPI_ NATIONAL_MONTHLY'!$T$26:$T$38</c15:sqref>
                  </c15:fullRef>
                </c:ext>
              </c:extLst>
              <c:f>'UPI_ NATIONAL_MONTHLY'!$T$27:$T$38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'UPI_ NATIONAL_MONTHLY'!$U$26:$U$38</c15:sqref>
                  </c15:fullRef>
                </c:ext>
              </c:extLst>
              <c:f>'UPI_ NATIONAL_MONTHLY'!$U$27:$U$38</c:f>
              <c:numCache>
                <c:formatCode>General</c:formatCode>
                <c:ptCount val="12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0.38</c:v>
                </c:pt>
                <c:pt idx="7">
                  <c:v>3.09</c:v>
                </c:pt>
                <c:pt idx="8">
                  <c:v>32.64</c:v>
                </c:pt>
                <c:pt idx="9">
                  <c:v>48.57</c:v>
                </c:pt>
                <c:pt idx="10">
                  <c:v>100.46</c:v>
                </c:pt>
                <c:pt idx="11">
                  <c:v>707.93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8-4BA8-914A-E4866DE7C146}"/>
            </c:ext>
          </c:extLst>
        </c:ser>
        <c:ser>
          <c:idx val="1"/>
          <c:order val="1"/>
          <c:tx>
            <c:strRef>
              <c:f>'UPI_ NATIONAL_MONTHLY'!$V$26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'UPI_ NATIONAL_MONTHLY'!$T$26:$T$38</c15:sqref>
                  </c15:fullRef>
                </c:ext>
              </c:extLst>
              <c:f>'UPI_ NATIONAL_MONTHLY'!$T$27:$T$38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'UPI_ NATIONAL_MONTHLY'!$V$26:$V$38</c15:sqref>
                  </c15:fullRef>
                </c:ext>
              </c:extLst>
              <c:f>'UPI_ NATIONAL_MONTHLY'!$V$27:$V$38</c:f>
              <c:numCache>
                <c:formatCode>General</c:formatCode>
                <c:ptCount val="12"/>
                <c:pt idx="0">
                  <c:v>1696.22</c:v>
                </c:pt>
                <c:pt idx="1">
                  <c:v>1937.71</c:v>
                </c:pt>
                <c:pt idx="2">
                  <c:v>2425.14</c:v>
                </c:pt>
                <c:pt idx="3">
                  <c:v>2271.2399999999998</c:v>
                </c:pt>
                <c:pt idx="4">
                  <c:v>2797.07</c:v>
                </c:pt>
                <c:pt idx="5">
                  <c:v>3098.36</c:v>
                </c:pt>
                <c:pt idx="6">
                  <c:v>3411.35</c:v>
                </c:pt>
                <c:pt idx="7">
                  <c:v>4156.62</c:v>
                </c:pt>
                <c:pt idx="8">
                  <c:v>5325.81</c:v>
                </c:pt>
                <c:pt idx="9">
                  <c:v>7057.78</c:v>
                </c:pt>
                <c:pt idx="10">
                  <c:v>9669.33</c:v>
                </c:pt>
                <c:pt idx="11">
                  <c:v>13174.24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58-4BA8-914A-E4866DE7C146}"/>
            </c:ext>
          </c:extLst>
        </c:ser>
        <c:ser>
          <c:idx val="2"/>
          <c:order val="2"/>
          <c:tx>
            <c:strRef>
              <c:f>'UPI_ NATIONAL_MONTHLY'!$W$26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'UPI_ NATIONAL_MONTHLY'!$T$26:$T$38</c15:sqref>
                  </c15:fullRef>
                </c:ext>
              </c:extLst>
              <c:f>'UPI_ NATIONAL_MONTHLY'!$T$27:$T$38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'UPI_ NATIONAL_MONTHLY'!$W$26:$W$38</c15:sqref>
                  </c15:fullRef>
                </c:ext>
              </c:extLst>
              <c:f>'UPI_ NATIONAL_MONTHLY'!$W$27:$W$38</c:f>
              <c:numCache>
                <c:formatCode>General</c:formatCode>
                <c:ptCount val="12"/>
                <c:pt idx="0">
                  <c:v>15571.2</c:v>
                </c:pt>
                <c:pt idx="1">
                  <c:v>19126.2</c:v>
                </c:pt>
                <c:pt idx="2">
                  <c:v>24172.6</c:v>
                </c:pt>
                <c:pt idx="3">
                  <c:v>27021.85</c:v>
                </c:pt>
                <c:pt idx="4">
                  <c:v>33288.51</c:v>
                </c:pt>
                <c:pt idx="5">
                  <c:v>40834.03</c:v>
                </c:pt>
                <c:pt idx="6">
                  <c:v>51843.14</c:v>
                </c:pt>
                <c:pt idx="7">
                  <c:v>54212.26</c:v>
                </c:pt>
                <c:pt idx="8">
                  <c:v>59835.360000000001</c:v>
                </c:pt>
                <c:pt idx="9">
                  <c:v>74978.27</c:v>
                </c:pt>
                <c:pt idx="10">
                  <c:v>82232.210000000006</c:v>
                </c:pt>
                <c:pt idx="11">
                  <c:v>102594.82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58-4BA8-914A-E4866DE7C146}"/>
            </c:ext>
          </c:extLst>
        </c:ser>
        <c:ser>
          <c:idx val="3"/>
          <c:order val="3"/>
          <c:tx>
            <c:strRef>
              <c:f>'UPI_ NATIONAL_MONTHLY'!$X$26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'UPI_ NATIONAL_MONTHLY'!$T$26:$T$38</c15:sqref>
                  </c15:fullRef>
                </c:ext>
              </c:extLst>
              <c:f>'UPI_ NATIONAL_MONTHLY'!$T$27:$T$38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'UPI_ NATIONAL_MONTHLY'!$X$26:$X$38</c15:sqref>
                  </c15:fullRef>
                </c:ext>
              </c:extLst>
              <c:f>'UPI_ NATIONAL_MONTHLY'!$X$27:$X$38</c:f>
              <c:numCache>
                <c:formatCode>General</c:formatCode>
                <c:ptCount val="12"/>
                <c:pt idx="0">
                  <c:v>109932.43</c:v>
                </c:pt>
                <c:pt idx="1">
                  <c:v>106737.12</c:v>
                </c:pt>
                <c:pt idx="2">
                  <c:v>133460.72</c:v>
                </c:pt>
                <c:pt idx="3">
                  <c:v>142034.39000000001</c:v>
                </c:pt>
                <c:pt idx="4">
                  <c:v>152449.29</c:v>
                </c:pt>
                <c:pt idx="5">
                  <c:v>146566.35</c:v>
                </c:pt>
                <c:pt idx="6">
                  <c:v>146386.64000000001</c:v>
                </c:pt>
                <c:pt idx="7">
                  <c:v>154504.89000000001</c:v>
                </c:pt>
                <c:pt idx="8">
                  <c:v>161456.56</c:v>
                </c:pt>
                <c:pt idx="9">
                  <c:v>191359.94</c:v>
                </c:pt>
                <c:pt idx="10">
                  <c:v>189229.09</c:v>
                </c:pt>
                <c:pt idx="11">
                  <c:v>202520.76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58-4BA8-914A-E4866DE7C146}"/>
            </c:ext>
          </c:extLst>
        </c:ser>
        <c:ser>
          <c:idx val="4"/>
          <c:order val="4"/>
          <c:tx>
            <c:strRef>
              <c:f>'UPI_ NATIONAL_MONTHLY'!$Y$26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'UPI_ NATIONAL_MONTHLY'!$T$26:$T$38</c15:sqref>
                  </c15:fullRef>
                </c:ext>
              </c:extLst>
              <c:f>'UPI_ NATIONAL_MONTHLY'!$T$27:$T$38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'UPI_ NATIONAL_MONTHLY'!$Y$26:$Y$38</c15:sqref>
                  </c15:fullRef>
                </c:ext>
              </c:extLst>
              <c:f>'UPI_ NATIONAL_MONTHLY'!$Y$27:$Y$38</c:f>
              <c:numCache>
                <c:formatCode>General</c:formatCode>
                <c:ptCount val="12"/>
                <c:pt idx="0">
                  <c:v>216242.97</c:v>
                </c:pt>
                <c:pt idx="1">
                  <c:v>222516.95</c:v>
                </c:pt>
                <c:pt idx="2">
                  <c:v>206462.31</c:v>
                </c:pt>
                <c:pt idx="3">
                  <c:v>151140.66</c:v>
                </c:pt>
                <c:pt idx="4">
                  <c:v>218391.6</c:v>
                </c:pt>
                <c:pt idx="5">
                  <c:v>261835</c:v>
                </c:pt>
                <c:pt idx="6">
                  <c:v>290537.86</c:v>
                </c:pt>
                <c:pt idx="7">
                  <c:v>298307.61</c:v>
                </c:pt>
                <c:pt idx="8">
                  <c:v>329027.65999999997</c:v>
                </c:pt>
                <c:pt idx="9">
                  <c:v>386106.74</c:v>
                </c:pt>
                <c:pt idx="10">
                  <c:v>390999.15</c:v>
                </c:pt>
                <c:pt idx="11">
                  <c:v>416176.21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58-4BA8-914A-E4866DE7C146}"/>
            </c:ext>
          </c:extLst>
        </c:ser>
        <c:ser>
          <c:idx val="5"/>
          <c:order val="5"/>
          <c:tx>
            <c:strRef>
              <c:f>'UPI_ NATIONAL_MONTHLY'!$Z$26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'UPI_ NATIONAL_MONTHLY'!$T$26:$T$38</c15:sqref>
                  </c15:fullRef>
                </c:ext>
              </c:extLst>
              <c:f>'UPI_ NATIONAL_MONTHLY'!$T$27:$T$38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'UPI_ NATIONAL_MONTHLY'!$Z$26:$Z$38</c15:sqref>
                  </c15:fullRef>
                </c:ext>
              </c:extLst>
              <c:f>'UPI_ NATIONAL_MONTHLY'!$Z$27:$Z$38</c:f>
              <c:numCache>
                <c:formatCode>General</c:formatCode>
                <c:ptCount val="12"/>
                <c:pt idx="0">
                  <c:v>431181.89</c:v>
                </c:pt>
                <c:pt idx="1">
                  <c:v>425062.76</c:v>
                </c:pt>
                <c:pt idx="2">
                  <c:v>504886.44</c:v>
                </c:pt>
                <c:pt idx="3">
                  <c:v>493663.68</c:v>
                </c:pt>
                <c:pt idx="4">
                  <c:v>490638.65</c:v>
                </c:pt>
                <c:pt idx="5">
                  <c:v>547373.17000000004</c:v>
                </c:pt>
                <c:pt idx="6">
                  <c:v>606281.14</c:v>
                </c:pt>
                <c:pt idx="7">
                  <c:v>639116.94999999995</c:v>
                </c:pt>
                <c:pt idx="8">
                  <c:v>654351.81000000006</c:v>
                </c:pt>
                <c:pt idx="9">
                  <c:v>771444.98</c:v>
                </c:pt>
                <c:pt idx="10">
                  <c:v>768436.11</c:v>
                </c:pt>
                <c:pt idx="11">
                  <c:v>826848.22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58-4BA8-914A-E4866DE7C146}"/>
            </c:ext>
          </c:extLst>
        </c:ser>
        <c:ser>
          <c:idx val="6"/>
          <c:order val="6"/>
          <c:tx>
            <c:strRef>
              <c:f>'UPI_ NATIONAL_MONTHLY'!$AA$26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'UPI_ NATIONAL_MONTHLY'!$T$26:$T$38</c15:sqref>
                  </c15:fullRef>
                </c:ext>
              </c:extLst>
              <c:f>'UPI_ NATIONAL_MONTHLY'!$T$27:$T$38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'UPI_ NATIONAL_MONTHLY'!$AA$26:$AA$38</c15:sqref>
                  </c15:fullRef>
                </c:ext>
              </c:extLst>
              <c:f>'UPI_ NATIONAL_MONTHLY'!$AA$27:$AA$38</c:f>
              <c:numCache>
                <c:formatCode>General</c:formatCode>
                <c:ptCount val="12"/>
                <c:pt idx="0">
                  <c:v>831993.11</c:v>
                </c:pt>
                <c:pt idx="1">
                  <c:v>826843</c:v>
                </c:pt>
                <c:pt idx="2">
                  <c:v>960581.66</c:v>
                </c:pt>
                <c:pt idx="3">
                  <c:v>983302.27</c:v>
                </c:pt>
                <c:pt idx="4">
                  <c:v>1041520.07</c:v>
                </c:pt>
                <c:pt idx="5">
                  <c:v>1014384.31</c:v>
                </c:pt>
                <c:pt idx="6">
                  <c:v>1062991.76</c:v>
                </c:pt>
                <c:pt idx="7">
                  <c:v>1072792.68</c:v>
                </c:pt>
                <c:pt idx="8">
                  <c:v>1116438.1000000001</c:v>
                </c:pt>
                <c:pt idx="9">
                  <c:v>1211582.51</c:v>
                </c:pt>
                <c:pt idx="10">
                  <c:v>1190593.3899999999</c:v>
                </c:pt>
                <c:pt idx="11">
                  <c:v>1282055.01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58-4BA8-914A-E4866DE7C146}"/>
            </c:ext>
          </c:extLst>
        </c:ser>
        <c:ser>
          <c:idx val="7"/>
          <c:order val="7"/>
          <c:tx>
            <c:strRef>
              <c:f>'UPI_ NATIONAL_MONTHLY'!$AB$26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'UPI_ NATIONAL_MONTHLY'!$T$26:$T$38</c15:sqref>
                  </c15:fullRef>
                </c:ext>
              </c:extLst>
              <c:f>'UPI_ NATIONAL_MONTHLY'!$T$27:$T$38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'UPI_ NATIONAL_MONTHLY'!$AB$26:$AB$38</c15:sqref>
                  </c15:fullRef>
                </c:ext>
              </c:extLst>
              <c:f>'UPI_ NATIONAL_MONTHLY'!$AB$27:$AB$38</c:f>
              <c:numCache>
                <c:formatCode>General</c:formatCode>
                <c:ptCount val="12"/>
                <c:pt idx="0">
                  <c:v>1298726.6200000001</c:v>
                </c:pt>
                <c:pt idx="1">
                  <c:v>1235846.6200000001</c:v>
                </c:pt>
                <c:pt idx="2">
                  <c:v>1410443.01</c:v>
                </c:pt>
                <c:pt idx="3">
                  <c:v>1415504.71</c:v>
                </c:pt>
                <c:pt idx="4">
                  <c:v>1489145.44</c:v>
                </c:pt>
                <c:pt idx="5">
                  <c:v>1475464.26</c:v>
                </c:pt>
                <c:pt idx="6">
                  <c:v>1533536.44</c:v>
                </c:pt>
                <c:pt idx="7">
                  <c:v>1576536.56</c:v>
                </c:pt>
                <c:pt idx="8">
                  <c:v>1579133.18</c:v>
                </c:pt>
                <c:pt idx="9">
                  <c:v>1715768.34</c:v>
                </c:pt>
                <c:pt idx="10">
                  <c:v>1739740.61</c:v>
                </c:pt>
                <c:pt idx="11">
                  <c:v>1822949.42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B58-4BA8-914A-E4866DE7C146}"/>
            </c:ext>
          </c:extLst>
        </c:ser>
        <c:ser>
          <c:idx val="8"/>
          <c:order val="8"/>
          <c:tx>
            <c:strRef>
              <c:f>'UPI_ NATIONAL_MONTHLY'!$AC$26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'UPI_ NATIONAL_MONTHLY'!$T$26:$T$38</c15:sqref>
                  </c15:fullRef>
                </c:ext>
              </c:extLst>
              <c:f>'UPI_ NATIONAL_MONTHLY'!$T$27:$T$38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'UPI_ NATIONAL_MONTHLY'!$AC$26:$AC$38</c15:sqref>
                  </c15:fullRef>
                </c:ext>
              </c:extLst>
              <c:f>'UPI_ NATIONAL_MONTHLY'!$AC$27:$AC$38</c:f>
              <c:numCache>
                <c:formatCode>General</c:formatCode>
                <c:ptCount val="12"/>
                <c:pt idx="0">
                  <c:v>1841083.97</c:v>
                </c:pt>
                <c:pt idx="1">
                  <c:v>1827869.35</c:v>
                </c:pt>
                <c:pt idx="2">
                  <c:v>1978353.23</c:v>
                </c:pt>
                <c:pt idx="3">
                  <c:v>1964464.52</c:v>
                </c:pt>
                <c:pt idx="4">
                  <c:v>2044937.05</c:v>
                </c:pt>
                <c:pt idx="5">
                  <c:v>2007081.2</c:v>
                </c:pt>
                <c:pt idx="6">
                  <c:v>2064292.41</c:v>
                </c:pt>
                <c:pt idx="7">
                  <c:v>2060735.57</c:v>
                </c:pt>
                <c:pt idx="8">
                  <c:v>2063994.71</c:v>
                </c:pt>
                <c:pt idx="9">
                  <c:v>2349821.46</c:v>
                </c:pt>
                <c:pt idx="10">
                  <c:v>2155187.4</c:v>
                </c:pt>
                <c:pt idx="11">
                  <c:v>2324699.91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58-4BA8-914A-E4866DE7C146}"/>
            </c:ext>
          </c:extLst>
        </c:ser>
        <c:ser>
          <c:idx val="9"/>
          <c:order val="9"/>
          <c:tx>
            <c:strRef>
              <c:f>'UPI_ NATIONAL_MONTHLY'!$AD$26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'UPI_ NATIONAL_MONTHLY'!$T$26:$T$38</c15:sqref>
                  </c15:fullRef>
                </c:ext>
              </c:extLst>
              <c:f>'UPI_ NATIONAL_MONTHLY'!$T$27:$T$38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'UPI_ NATIONAL_MONTHLY'!$AD$26:$AD$38</c15:sqref>
                  </c15:fullRef>
                </c:ext>
              </c:extLst>
              <c:f>'UPI_ NATIONAL_MONTHLY'!$AD$27:$AD$38</c:f>
              <c:numCache>
                <c:formatCode>General</c:formatCode>
                <c:ptCount val="12"/>
                <c:pt idx="0">
                  <c:v>2348037.1200000001</c:v>
                </c:pt>
                <c:pt idx="1">
                  <c:v>2196481.69</c:v>
                </c:pt>
                <c:pt idx="2">
                  <c:v>2477221.61</c:v>
                </c:pt>
                <c:pt idx="3">
                  <c:v>2394925.87</c:v>
                </c:pt>
                <c:pt idx="4">
                  <c:v>2514297.0099999998</c:v>
                </c:pt>
                <c:pt idx="5">
                  <c:v>2403930.69</c:v>
                </c:pt>
                <c:pt idx="6">
                  <c:v>2508498.09</c:v>
                </c:pt>
                <c:pt idx="7">
                  <c:v>2485472.91</c:v>
                </c:pt>
                <c:pt idx="8">
                  <c:v>2489736.54</c:v>
                </c:pt>
                <c:pt idx="9">
                  <c:v>2727790.68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B58-4BA8-914A-E4866DE7C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351504"/>
        <c:axId val="410339984"/>
      </c:lineChart>
      <c:catAx>
        <c:axId val="410351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339984"/>
        <c:crosses val="autoZero"/>
        <c:auto val="1"/>
        <c:lblAlgn val="ctr"/>
        <c:lblOffset val="100"/>
        <c:noMultiLvlLbl val="0"/>
      </c:catAx>
      <c:valAx>
        <c:axId val="41033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Value (in Rs. Cr.)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35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UPI_National_Fin_Annual!$B$1</c:f>
              <c:strCache>
                <c:ptCount val="1"/>
                <c:pt idx="0">
                  <c:v>ANNUAL TRANSACTIONS (in Mn.)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UPI_National_Fin_Annual!$A$2:$A$10</c:f>
              <c:strCache>
                <c:ptCount val="9"/>
                <c:pt idx="0">
                  <c:v>2016-17</c:v>
                </c:pt>
                <c:pt idx="1">
                  <c:v>2017-18</c:v>
                </c:pt>
                <c:pt idx="2">
                  <c:v>2018-19</c:v>
                </c:pt>
                <c:pt idx="3">
                  <c:v>2019-20</c:v>
                </c:pt>
                <c:pt idx="4">
                  <c:v>2020-21</c:v>
                </c:pt>
                <c:pt idx="5">
                  <c:v>2021-22</c:v>
                </c:pt>
                <c:pt idx="6">
                  <c:v>2022-23</c:v>
                </c:pt>
                <c:pt idx="7">
                  <c:v>2023-24</c:v>
                </c:pt>
                <c:pt idx="8">
                  <c:v>2024-25</c:v>
                </c:pt>
              </c:strCache>
            </c:strRef>
          </c:cat>
          <c:val>
            <c:numRef>
              <c:f>UPI_National_Fin_Annual!$B$2:$B$10</c:f>
              <c:numCache>
                <c:formatCode>General</c:formatCode>
                <c:ptCount val="9"/>
                <c:pt idx="0">
                  <c:v>17.86</c:v>
                </c:pt>
                <c:pt idx="1">
                  <c:v>915.22</c:v>
                </c:pt>
                <c:pt idx="2">
                  <c:v>5391.52</c:v>
                </c:pt>
                <c:pt idx="3">
                  <c:v>12518.61</c:v>
                </c:pt>
                <c:pt idx="4">
                  <c:v>22330.65</c:v>
                </c:pt>
                <c:pt idx="5">
                  <c:v>45967.53</c:v>
                </c:pt>
                <c:pt idx="6">
                  <c:v>83751.14</c:v>
                </c:pt>
                <c:pt idx="7">
                  <c:v>131129.83000000002</c:v>
                </c:pt>
                <c:pt idx="8">
                  <c:v>185866.02000000002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C3-4558-AA6C-6E402FF4F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8864495"/>
        <c:axId val="1158864975"/>
      </c:lineChart>
      <c:catAx>
        <c:axId val="1158864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864975"/>
        <c:crosses val="autoZero"/>
        <c:auto val="1"/>
        <c:lblAlgn val="ctr"/>
        <c:lblOffset val="100"/>
        <c:noMultiLvlLbl val="0"/>
      </c:catAx>
      <c:valAx>
        <c:axId val="115886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TRANSACTIONS</a:t>
                </a:r>
                <a:r>
                  <a:rPr lang="en-US" baseline="0"/>
                  <a:t> (in Mn.)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86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UPI_National_Fin_Annual!$C$1</c:f>
              <c:strCache>
                <c:ptCount val="1"/>
                <c:pt idx="0">
                  <c:v>ANNUAL VALUE (Rs. in Cr.)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UPI_National_Fin_Annual!$A$2:$A$10</c:f>
              <c:strCache>
                <c:ptCount val="9"/>
                <c:pt idx="0">
                  <c:v>2016-17</c:v>
                </c:pt>
                <c:pt idx="1">
                  <c:v>2017-18</c:v>
                </c:pt>
                <c:pt idx="2">
                  <c:v>2018-19</c:v>
                </c:pt>
                <c:pt idx="3">
                  <c:v>2019-20</c:v>
                </c:pt>
                <c:pt idx="4">
                  <c:v>2020-21</c:v>
                </c:pt>
                <c:pt idx="5">
                  <c:v>2021-22</c:v>
                </c:pt>
                <c:pt idx="6">
                  <c:v>2022-23</c:v>
                </c:pt>
                <c:pt idx="7">
                  <c:v>2023-24</c:v>
                </c:pt>
                <c:pt idx="8">
                  <c:v>2024-25</c:v>
                </c:pt>
              </c:strCache>
            </c:strRef>
          </c:cat>
          <c:val>
            <c:numRef>
              <c:f>UPI_National_Fin_Annual!$C$2:$C$10</c:f>
              <c:numCache>
                <c:formatCode>General</c:formatCode>
                <c:ptCount val="9"/>
                <c:pt idx="0">
                  <c:v>6952.1399999999994</c:v>
                </c:pt>
                <c:pt idx="1">
                  <c:v>109831.79999999999</c:v>
                </c:pt>
                <c:pt idx="2">
                  <c:v>876970.72000000009</c:v>
                </c:pt>
                <c:pt idx="3">
                  <c:v>2131730.14</c:v>
                </c:pt>
                <c:pt idx="4">
                  <c:v>4103653.5799999996</c:v>
                </c:pt>
                <c:pt idx="5">
                  <c:v>8417572.4800000004</c:v>
                </c:pt>
                <c:pt idx="6">
                  <c:v>13920676.35</c:v>
                </c:pt>
                <c:pt idx="7">
                  <c:v>19995085.510000002</c:v>
                </c:pt>
                <c:pt idx="8">
                  <c:v>26056954.650000006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9E-409A-A099-5984CC36E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3283695"/>
        <c:axId val="1113282735"/>
      </c:lineChart>
      <c:catAx>
        <c:axId val="111328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282735"/>
        <c:crosses val="autoZero"/>
        <c:auto val="1"/>
        <c:lblAlgn val="ctr"/>
        <c:lblOffset val="100"/>
        <c:noMultiLvlLbl val="0"/>
      </c:catAx>
      <c:valAx>
        <c:axId val="111328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  <a:r>
                  <a:rPr lang="en-US" baseline="0"/>
                  <a:t> (in Cr.)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28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States by Retail GSVA (2023-24)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'REATIL GSVA WORK'!$E$5</c:f>
              <c:strCache>
                <c:ptCount val="1"/>
                <c:pt idx="0">
                  <c:v>2023-24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'REATIL GSVA WORK'!$C$6:$C$16</c:f>
              <c:strCache>
                <c:ptCount val="11"/>
                <c:pt idx="1">
                  <c:v>Maharashtra</c:v>
                </c:pt>
                <c:pt idx="2">
                  <c:v>Gujarat</c:v>
                </c:pt>
                <c:pt idx="3">
                  <c:v>Tamil Nadu</c:v>
                </c:pt>
                <c:pt idx="4">
                  <c:v>Uttar Pradesh</c:v>
                </c:pt>
                <c:pt idx="5">
                  <c:v>Karnataka</c:v>
                </c:pt>
                <c:pt idx="6">
                  <c:v>West Bengal</c:v>
                </c:pt>
                <c:pt idx="7">
                  <c:v>Telangana</c:v>
                </c:pt>
                <c:pt idx="8">
                  <c:v>Kerala</c:v>
                </c:pt>
                <c:pt idx="9">
                  <c:v>Rajasthan</c:v>
                </c:pt>
                <c:pt idx="10">
                  <c:v>Haryana</c:v>
                </c:pt>
              </c:strCache>
            </c:strRef>
          </c:cat>
          <c:val>
            <c:numRef>
              <c:f>'REATIL GSVA WORK'!$E$6:$E$16</c:f>
              <c:numCache>
                <c:formatCode>General</c:formatCode>
                <c:ptCount val="11"/>
                <c:pt idx="1">
                  <c:v>17628320.704196434</c:v>
                </c:pt>
                <c:pt idx="2">
                  <c:v>17034178.898538545</c:v>
                </c:pt>
                <c:pt idx="3">
                  <c:v>15904885.909450067</c:v>
                </c:pt>
                <c:pt idx="4">
                  <c:v>13357207</c:v>
                </c:pt>
                <c:pt idx="5">
                  <c:v>12975635.648943339</c:v>
                </c:pt>
                <c:pt idx="6">
                  <c:v>12796876.482000001</c:v>
                </c:pt>
                <c:pt idx="7">
                  <c:v>11532258.735939445</c:v>
                </c:pt>
                <c:pt idx="8">
                  <c:v>10329246.319483049</c:v>
                </c:pt>
                <c:pt idx="9">
                  <c:v>9626058.6894186288</c:v>
                </c:pt>
                <c:pt idx="10">
                  <c:v>8077333.1398421843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C-4CFD-8E16-989B4E659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8117967"/>
        <c:axId val="878104527"/>
      </c:barChart>
      <c:catAx>
        <c:axId val="878117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STATES</a:t>
                </a:r>
                <a:r>
                  <a:rPr lang="en-US" baseline="0"/>
                  <a:t> (Top 10)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104527"/>
        <c:crosses val="autoZero"/>
        <c:auto val="1"/>
        <c:lblAlgn val="ctr"/>
        <c:lblOffset val="100"/>
        <c:noMultiLvlLbl val="0"/>
      </c:catAx>
      <c:valAx>
        <c:axId val="87810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Retail</a:t>
                </a:r>
                <a:r>
                  <a:rPr lang="en-US" baseline="0"/>
                  <a:t> GSVA (Rs. in lakh)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11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State-Wise Retail Annual GSVA Growth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'REATIL GSVA WORK'!$H$5</c:f>
              <c:strCache>
                <c:ptCount val="1"/>
                <c:pt idx="0">
                  <c:v>Growth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'REATIL GSVA WORK'!$C$7:$C$39</c:f>
              <c:strCache>
                <c:ptCount val="33"/>
                <c:pt idx="0">
                  <c:v>Maharashtra</c:v>
                </c:pt>
                <c:pt idx="1">
                  <c:v>Gujarat</c:v>
                </c:pt>
                <c:pt idx="2">
                  <c:v>Tamil Nadu</c:v>
                </c:pt>
                <c:pt idx="3">
                  <c:v>Uttar Pradesh</c:v>
                </c:pt>
                <c:pt idx="4">
                  <c:v>Karnataka</c:v>
                </c:pt>
                <c:pt idx="5">
                  <c:v>West Bengal</c:v>
                </c:pt>
                <c:pt idx="6">
                  <c:v>Telangana</c:v>
                </c:pt>
                <c:pt idx="7">
                  <c:v>Kerala</c:v>
                </c:pt>
                <c:pt idx="8">
                  <c:v>Rajasthan</c:v>
                </c:pt>
                <c:pt idx="9">
                  <c:v>Haryana</c:v>
                </c:pt>
                <c:pt idx="10">
                  <c:v>Delhi</c:v>
                </c:pt>
                <c:pt idx="11">
                  <c:v>Madhya Pradesh</c:v>
                </c:pt>
                <c:pt idx="12">
                  <c:v>Bihar</c:v>
                </c:pt>
                <c:pt idx="13">
                  <c:v>Andhra Pradesh</c:v>
                </c:pt>
                <c:pt idx="14">
                  <c:v>Punjab</c:v>
                </c:pt>
                <c:pt idx="15">
                  <c:v>Odisha</c:v>
                </c:pt>
                <c:pt idx="16">
                  <c:v>Uttarakhand</c:v>
                </c:pt>
                <c:pt idx="17">
                  <c:v>Jharkhand</c:v>
                </c:pt>
                <c:pt idx="18">
                  <c:v>Assam</c:v>
                </c:pt>
                <c:pt idx="19">
                  <c:v>Chhattisgarh</c:v>
                </c:pt>
                <c:pt idx="20">
                  <c:v>Chandigarh</c:v>
                </c:pt>
                <c:pt idx="21">
                  <c:v>Jammu &amp; Kashmir</c:v>
                </c:pt>
                <c:pt idx="22">
                  <c:v>Himachal Pradesh</c:v>
                </c:pt>
                <c:pt idx="23">
                  <c:v>Meghalaya</c:v>
                </c:pt>
                <c:pt idx="24">
                  <c:v>Tripura</c:v>
                </c:pt>
                <c:pt idx="25">
                  <c:v>Goa</c:v>
                </c:pt>
                <c:pt idx="26">
                  <c:v>Mizoram</c:v>
                </c:pt>
                <c:pt idx="27">
                  <c:v>Manipur</c:v>
                </c:pt>
                <c:pt idx="28">
                  <c:v>Nagaland</c:v>
                </c:pt>
                <c:pt idx="29">
                  <c:v>Sikkim</c:v>
                </c:pt>
                <c:pt idx="30">
                  <c:v>Puducherry</c:v>
                </c:pt>
                <c:pt idx="31">
                  <c:v>Andaman &amp; Nicobar</c:v>
                </c:pt>
                <c:pt idx="32">
                  <c:v>Arunachal Pradesh</c:v>
                </c:pt>
              </c:strCache>
            </c:strRef>
          </c:cat>
          <c:val>
            <c:numRef>
              <c:f>'REATIL GSVA WORK'!$H$7:$H$39</c:f>
              <c:numCache>
                <c:formatCode>General</c:formatCode>
                <c:ptCount val="33"/>
                <c:pt idx="0">
                  <c:v>66.920432755976009</c:v>
                </c:pt>
                <c:pt idx="1">
                  <c:v>156.29195938083629</c:v>
                </c:pt>
                <c:pt idx="2">
                  <c:v>100.56049083795666</c:v>
                </c:pt>
                <c:pt idx="3">
                  <c:v>92.284419180272039</c:v>
                </c:pt>
                <c:pt idx="4">
                  <c:v>114.67319323800726</c:v>
                </c:pt>
                <c:pt idx="5">
                  <c:v>88.304779782666799</c:v>
                </c:pt>
                <c:pt idx="6">
                  <c:v>207.70635397068756</c:v>
                </c:pt>
                <c:pt idx="7">
                  <c:v>94.097033790814081</c:v>
                </c:pt>
                <c:pt idx="8">
                  <c:v>120.04303730192041</c:v>
                </c:pt>
                <c:pt idx="9">
                  <c:v>143.97352836499513</c:v>
                </c:pt>
                <c:pt idx="10">
                  <c:v>89.148375713468681</c:v>
                </c:pt>
                <c:pt idx="11">
                  <c:v>94.146380442358307</c:v>
                </c:pt>
                <c:pt idx="12">
                  <c:v>48.865683990722161</c:v>
                </c:pt>
                <c:pt idx="13">
                  <c:v>139.60041532588758</c:v>
                </c:pt>
                <c:pt idx="14">
                  <c:v>87.742491064152858</c:v>
                </c:pt>
                <c:pt idx="15">
                  <c:v>99.187057361591542</c:v>
                </c:pt>
                <c:pt idx="16">
                  <c:v>165.94145675733677</c:v>
                </c:pt>
                <c:pt idx="17">
                  <c:v>170.19883816505416</c:v>
                </c:pt>
                <c:pt idx="18">
                  <c:v>7.7246759468375812</c:v>
                </c:pt>
                <c:pt idx="19">
                  <c:v>110.38379098815483</c:v>
                </c:pt>
                <c:pt idx="20">
                  <c:v>85.716472300833374</c:v>
                </c:pt>
                <c:pt idx="21">
                  <c:v>67.14355213674655</c:v>
                </c:pt>
                <c:pt idx="22">
                  <c:v>137.97396217232</c:v>
                </c:pt>
                <c:pt idx="23">
                  <c:v>157.15166727234254</c:v>
                </c:pt>
                <c:pt idx="24">
                  <c:v>144.46149030810398</c:v>
                </c:pt>
                <c:pt idx="25">
                  <c:v>87.898669337530862</c:v>
                </c:pt>
                <c:pt idx="26">
                  <c:v>408.53545224982281</c:v>
                </c:pt>
                <c:pt idx="27">
                  <c:v>115.67657398529883</c:v>
                </c:pt>
                <c:pt idx="28">
                  <c:v>69.344312249978586</c:v>
                </c:pt>
                <c:pt idx="29">
                  <c:v>458.41298136597277</c:v>
                </c:pt>
                <c:pt idx="30">
                  <c:v>-4.2123781772724633E-2</c:v>
                </c:pt>
                <c:pt idx="31">
                  <c:v>164.99139198165514</c:v>
                </c:pt>
                <c:pt idx="32">
                  <c:v>5.7532585932184546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85-446B-94C8-C75EC3F4F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2020847"/>
        <c:axId val="742015087"/>
      </c:barChart>
      <c:catAx>
        <c:axId val="742020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15087"/>
        <c:crosses val="autoZero"/>
        <c:auto val="1"/>
        <c:lblAlgn val="ctr"/>
        <c:lblOffset val="100"/>
        <c:noMultiLvlLbl val="0"/>
      </c:catAx>
      <c:valAx>
        <c:axId val="74201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2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UPI_Retail_Ratio!$C$1</c:f>
              <c:strCache>
                <c:ptCount val="1"/>
                <c:pt idx="0">
                  <c:v>National Retail GSVA (Rs. in lakh)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UPI_Retail_Ratio!$A$2:$A$14</c:f>
              <c:strCache>
                <c:ptCount val="13"/>
                <c:pt idx="0">
                  <c:v>2011-12</c:v>
                </c:pt>
                <c:pt idx="1">
                  <c:v>2012-13</c:v>
                </c:pt>
                <c:pt idx="2">
                  <c:v>2013-14</c:v>
                </c:pt>
                <c:pt idx="3">
                  <c:v>2014-15</c:v>
                </c:pt>
                <c:pt idx="4">
                  <c:v>2015-16</c:v>
                </c:pt>
                <c:pt idx="5">
                  <c:v>2016-17</c:v>
                </c:pt>
                <c:pt idx="6">
                  <c:v>2017-18</c:v>
                </c:pt>
                <c:pt idx="7">
                  <c:v>2018-19</c:v>
                </c:pt>
                <c:pt idx="8">
                  <c:v>2019-20</c:v>
                </c:pt>
                <c:pt idx="9">
                  <c:v>2020-21</c:v>
                </c:pt>
                <c:pt idx="10">
                  <c:v>2021-22</c:v>
                </c:pt>
                <c:pt idx="11">
                  <c:v>2022-23</c:v>
                </c:pt>
                <c:pt idx="12">
                  <c:v>2023-24</c:v>
                </c:pt>
              </c:strCache>
            </c:strRef>
          </c:cat>
          <c:val>
            <c:numRef>
              <c:f>UPI_Retail_Ratio!$C$2:$C$14</c:f>
              <c:numCache>
                <c:formatCode>General</c:formatCode>
                <c:ptCount val="13"/>
                <c:pt idx="0">
                  <c:v>89319169.559426412</c:v>
                </c:pt>
                <c:pt idx="1">
                  <c:v>97674457.85203965</c:v>
                </c:pt>
                <c:pt idx="2">
                  <c:v>103645211.16376549</c:v>
                </c:pt>
                <c:pt idx="3">
                  <c:v>110074913.90068981</c:v>
                </c:pt>
                <c:pt idx="4">
                  <c:v>117804369.73766559</c:v>
                </c:pt>
                <c:pt idx="5">
                  <c:v>127201988.72166616</c:v>
                </c:pt>
                <c:pt idx="6">
                  <c:v>140109896.84342766</c:v>
                </c:pt>
                <c:pt idx="7">
                  <c:v>155823723.91502559</c:v>
                </c:pt>
                <c:pt idx="8">
                  <c:v>165325433.24428967</c:v>
                </c:pt>
                <c:pt idx="9">
                  <c:v>134145642.84476887</c:v>
                </c:pt>
                <c:pt idx="10">
                  <c:v>148856488.46079731</c:v>
                </c:pt>
                <c:pt idx="11">
                  <c:v>170542206.3363772</c:v>
                </c:pt>
                <c:pt idx="12">
                  <c:v>182420960.7329939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A0-47B9-8A2D-8A3DCF33C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847215"/>
        <c:axId val="61985297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UPI_Retail_Ratio!$B$1</c15:sqref>
                        </c15:formulaRef>
                      </c:ext>
                    </c:extLst>
                    <c:strCache>
                      <c:ptCount val="1"/>
                      <c:pt idx="0">
                        <c:v>UPI Value (in Cr.)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UPI_Retail_Ratio!$A$2:$A$14</c15:sqref>
                        </c15:formulaRef>
                      </c:ext>
                    </c:extLst>
                    <c:strCache>
                      <c:ptCount val="13"/>
                      <c:pt idx="0">
                        <c:v>2011-12</c:v>
                      </c:pt>
                      <c:pt idx="1">
                        <c:v>2012-13</c:v>
                      </c:pt>
                      <c:pt idx="2">
                        <c:v>2013-14</c:v>
                      </c:pt>
                      <c:pt idx="3">
                        <c:v>2014-15</c:v>
                      </c:pt>
                      <c:pt idx="4">
                        <c:v>2015-16</c:v>
                      </c:pt>
                      <c:pt idx="5">
                        <c:v>2016-17</c:v>
                      </c:pt>
                      <c:pt idx="6">
                        <c:v>2017-18</c:v>
                      </c:pt>
                      <c:pt idx="7">
                        <c:v>2018-19</c:v>
                      </c:pt>
                      <c:pt idx="8">
                        <c:v>2019-20</c:v>
                      </c:pt>
                      <c:pt idx="9">
                        <c:v>2020-21</c:v>
                      </c:pt>
                      <c:pt idx="10">
                        <c:v>2021-22</c:v>
                      </c:pt>
                      <c:pt idx="11">
                        <c:v>2022-23</c:v>
                      </c:pt>
                      <c:pt idx="12">
                        <c:v>2023-24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UPI_Retail_Ratio!$B$2:$B$14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6952.1399999999994</c:v>
                      </c:pt>
                      <c:pt idx="6">
                        <c:v>109831.79999999999</c:v>
                      </c:pt>
                      <c:pt idx="7">
                        <c:v>876970.72000000009</c:v>
                      </c:pt>
                      <c:pt idx="8">
                        <c:v>2131730.14</c:v>
                      </c:pt>
                      <c:pt idx="9">
                        <c:v>4103653.5799999996</c:v>
                      </c:pt>
                      <c:pt idx="10">
                        <c:v>8417572.4800000004</c:v>
                      </c:pt>
                      <c:pt idx="11">
                        <c:v>13920676.35</c:v>
                      </c:pt>
                      <c:pt idx="12">
                        <c:v>19995085.510000002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7A0-47B9-8A2D-8A3DCF33C28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UPI_Retail_Ratio!$D$1</c15:sqref>
                        </c15:formulaRef>
                      </c:ext>
                    </c:extLst>
                    <c:strCache>
                      <c:ptCount val="1"/>
                      <c:pt idx="0">
                        <c:v>UPI Share %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UPI_Retail_Ratio!$A$2:$A$14</c15:sqref>
                        </c15:formulaRef>
                      </c:ext>
                    </c:extLst>
                    <c:strCache>
                      <c:ptCount val="13"/>
                      <c:pt idx="0">
                        <c:v>2011-12</c:v>
                      </c:pt>
                      <c:pt idx="1">
                        <c:v>2012-13</c:v>
                      </c:pt>
                      <c:pt idx="2">
                        <c:v>2013-14</c:v>
                      </c:pt>
                      <c:pt idx="3">
                        <c:v>2014-15</c:v>
                      </c:pt>
                      <c:pt idx="4">
                        <c:v>2015-16</c:v>
                      </c:pt>
                      <c:pt idx="5">
                        <c:v>2016-17</c:v>
                      </c:pt>
                      <c:pt idx="6">
                        <c:v>2017-18</c:v>
                      </c:pt>
                      <c:pt idx="7">
                        <c:v>2018-19</c:v>
                      </c:pt>
                      <c:pt idx="8">
                        <c:v>2019-20</c:v>
                      </c:pt>
                      <c:pt idx="9">
                        <c:v>2020-21</c:v>
                      </c:pt>
                      <c:pt idx="10">
                        <c:v>2021-22</c:v>
                      </c:pt>
                      <c:pt idx="11">
                        <c:v>2022-23</c:v>
                      </c:pt>
                      <c:pt idx="12">
                        <c:v>2023-24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UPI_Retail_Ratio!$D$2:$D$14</c15:sqref>
                        </c15:formulaRef>
                      </c:ext>
                    </c:extLst>
                    <c:numCache>
                      <c:formatCode>0.00000000%</c:formatCode>
                      <c:ptCount val="1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5.4654334180357434E-5</c:v>
                      </c:pt>
                      <c:pt idx="6">
                        <c:v>7.8389751526786622E-4</c:v>
                      </c:pt>
                      <c:pt idx="7">
                        <c:v>5.6279666405497615E-3</c:v>
                      </c:pt>
                      <c:pt idx="8">
                        <c:v>1.2894145190898086E-2</c:v>
                      </c:pt>
                      <c:pt idx="9">
                        <c:v>3.0591031456375217E-2</c:v>
                      </c:pt>
                      <c:pt idx="10">
                        <c:v>5.6548240302046651E-2</c:v>
                      </c:pt>
                      <c:pt idx="11">
                        <c:v>8.162598953682397E-2</c:v>
                      </c:pt>
                      <c:pt idx="12">
                        <c:v>0.10960958340344687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7A0-47B9-8A2D-8A3DCF33C285}"/>
                  </c:ext>
                </c:extLst>
              </c15:ser>
            </c15:filteredLineSeries>
          </c:ext>
        </c:extLst>
      </c:lineChart>
      <c:catAx>
        <c:axId val="619847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Year</a:t>
                </a:r>
              </a:p>
            </c:rich>
          </c:tx>
          <c:layout>
            <c:manualLayout>
              <c:xMode val="edge"/>
              <c:yMode val="edge"/>
              <c:x val="0.47248443083516473"/>
              <c:y val="0.922278049212118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852975"/>
        <c:crosses val="autoZero"/>
        <c:auto val="1"/>
        <c:lblAlgn val="ctr"/>
        <c:lblOffset val="100"/>
        <c:noMultiLvlLbl val="0"/>
      </c:catAx>
      <c:valAx>
        <c:axId val="61985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effectLst/>
                  </a:rPr>
                  <a:t>National Retail GSVA (Rs. in lakj.)</a:t>
                </a:r>
                <a:r>
                  <a:rPr lang="en-US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84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UPI Value over the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UPI_Retail_Ratio!$B$1</c:f>
              <c:strCache>
                <c:ptCount val="1"/>
                <c:pt idx="0">
                  <c:v>UPI Value (in Cr.)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UPI_Retail_Ratio!$A$6:$A$14</c:f>
              <c:strCache>
                <c:ptCount val="9"/>
                <c:pt idx="0">
                  <c:v>2015-16</c:v>
                </c:pt>
                <c:pt idx="1">
                  <c:v>2016-17</c:v>
                </c:pt>
                <c:pt idx="2">
                  <c:v>2017-18</c:v>
                </c:pt>
                <c:pt idx="3">
                  <c:v>2018-19</c:v>
                </c:pt>
                <c:pt idx="4">
                  <c:v>2019-20</c:v>
                </c:pt>
                <c:pt idx="5">
                  <c:v>2020-21</c:v>
                </c:pt>
                <c:pt idx="6">
                  <c:v>2021-22</c:v>
                </c:pt>
                <c:pt idx="7">
                  <c:v>2022-23</c:v>
                </c:pt>
                <c:pt idx="8">
                  <c:v>2023-24</c:v>
                </c:pt>
              </c:strCache>
            </c:strRef>
          </c:cat>
          <c:val>
            <c:numRef>
              <c:f>UPI_Retail_Ratio!$B$6:$B$14</c:f>
              <c:numCache>
                <c:formatCode>General</c:formatCode>
                <c:ptCount val="9"/>
                <c:pt idx="0">
                  <c:v>0</c:v>
                </c:pt>
                <c:pt idx="1">
                  <c:v>6952.1399999999994</c:v>
                </c:pt>
                <c:pt idx="2">
                  <c:v>109831.79999999999</c:v>
                </c:pt>
                <c:pt idx="3">
                  <c:v>876970.72000000009</c:v>
                </c:pt>
                <c:pt idx="4">
                  <c:v>2131730.14</c:v>
                </c:pt>
                <c:pt idx="5">
                  <c:v>4103653.5799999996</c:v>
                </c:pt>
                <c:pt idx="6">
                  <c:v>8417572.4800000004</c:v>
                </c:pt>
                <c:pt idx="7">
                  <c:v>13920676.35</c:v>
                </c:pt>
                <c:pt idx="8">
                  <c:v>19995085.510000002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21B-48CE-87BA-31A985A77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1368127"/>
        <c:axId val="56138204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UPI_Retail_Ratio!$C$1</c15:sqref>
                        </c15:formulaRef>
                      </c:ext>
                    </c:extLst>
                    <c:strCache>
                      <c:ptCount val="1"/>
                      <c:pt idx="0">
                        <c:v>National Retail GSVA (Rs. in lakh)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UPI_Retail_Ratio!$A$6:$A$14</c15:sqref>
                        </c15:formulaRef>
                      </c:ext>
                    </c:extLst>
                    <c:strCache>
                      <c:ptCount val="9"/>
                      <c:pt idx="0">
                        <c:v>2015-16</c:v>
                      </c:pt>
                      <c:pt idx="1">
                        <c:v>2016-17</c:v>
                      </c:pt>
                      <c:pt idx="2">
                        <c:v>2017-18</c:v>
                      </c:pt>
                      <c:pt idx="3">
                        <c:v>2018-19</c:v>
                      </c:pt>
                      <c:pt idx="4">
                        <c:v>2019-20</c:v>
                      </c:pt>
                      <c:pt idx="5">
                        <c:v>2020-21</c:v>
                      </c:pt>
                      <c:pt idx="6">
                        <c:v>2021-22</c:v>
                      </c:pt>
                      <c:pt idx="7">
                        <c:v>2022-23</c:v>
                      </c:pt>
                      <c:pt idx="8">
                        <c:v>2023-24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UPI_Retail_Ratio!$C$6:$C$14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117804369.73766559</c:v>
                      </c:pt>
                      <c:pt idx="1">
                        <c:v>127201988.72166616</c:v>
                      </c:pt>
                      <c:pt idx="2">
                        <c:v>140109896.84342766</c:v>
                      </c:pt>
                      <c:pt idx="3">
                        <c:v>155823723.91502559</c:v>
                      </c:pt>
                      <c:pt idx="4">
                        <c:v>165325433.24428967</c:v>
                      </c:pt>
                      <c:pt idx="5">
                        <c:v>134145642.84476887</c:v>
                      </c:pt>
                      <c:pt idx="6">
                        <c:v>148856488.46079731</c:v>
                      </c:pt>
                      <c:pt idx="7">
                        <c:v>170542206.3363772</c:v>
                      </c:pt>
                      <c:pt idx="8">
                        <c:v>182420960.7329939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21B-48CE-87BA-31A985A7706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UPI_Retail_Ratio!$D$1</c15:sqref>
                        </c15:formulaRef>
                      </c:ext>
                    </c:extLst>
                    <c:strCache>
                      <c:ptCount val="1"/>
                      <c:pt idx="0">
                        <c:v>UPI Share %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UPI_Retail_Ratio!$A$6:$A$14</c15:sqref>
                        </c15:formulaRef>
                      </c:ext>
                    </c:extLst>
                    <c:strCache>
                      <c:ptCount val="9"/>
                      <c:pt idx="0">
                        <c:v>2015-16</c:v>
                      </c:pt>
                      <c:pt idx="1">
                        <c:v>2016-17</c:v>
                      </c:pt>
                      <c:pt idx="2">
                        <c:v>2017-18</c:v>
                      </c:pt>
                      <c:pt idx="3">
                        <c:v>2018-19</c:v>
                      </c:pt>
                      <c:pt idx="4">
                        <c:v>2019-20</c:v>
                      </c:pt>
                      <c:pt idx="5">
                        <c:v>2020-21</c:v>
                      </c:pt>
                      <c:pt idx="6">
                        <c:v>2021-22</c:v>
                      </c:pt>
                      <c:pt idx="7">
                        <c:v>2022-23</c:v>
                      </c:pt>
                      <c:pt idx="8">
                        <c:v>2023-24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UPI_Retail_Ratio!$D$6:$D$14</c15:sqref>
                        </c15:formulaRef>
                      </c:ext>
                    </c:extLst>
                    <c:numCache>
                      <c:formatCode>0.00000000%</c:formatCode>
                      <c:ptCount val="9"/>
                      <c:pt idx="0">
                        <c:v>0</c:v>
                      </c:pt>
                      <c:pt idx="1">
                        <c:v>5.4654334180357434E-5</c:v>
                      </c:pt>
                      <c:pt idx="2">
                        <c:v>7.8389751526786622E-4</c:v>
                      </c:pt>
                      <c:pt idx="3">
                        <c:v>5.6279666405497615E-3</c:v>
                      </c:pt>
                      <c:pt idx="4">
                        <c:v>1.2894145190898086E-2</c:v>
                      </c:pt>
                      <c:pt idx="5">
                        <c:v>3.0591031456375217E-2</c:v>
                      </c:pt>
                      <c:pt idx="6">
                        <c:v>5.6548240302046651E-2</c:v>
                      </c:pt>
                      <c:pt idx="7">
                        <c:v>8.162598953682397E-2</c:v>
                      </c:pt>
                      <c:pt idx="8">
                        <c:v>0.10960958340344687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21B-48CE-87BA-31A985A77066}"/>
                  </c:ext>
                </c:extLst>
              </c15:ser>
            </c15:filteredLineSeries>
          </c:ext>
        </c:extLst>
      </c:lineChart>
      <c:catAx>
        <c:axId val="561368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Year</a:t>
                </a:r>
              </a:p>
            </c:rich>
          </c:tx>
          <c:layout>
            <c:manualLayout>
              <c:xMode val="edge"/>
              <c:yMode val="edge"/>
              <c:x val="0.49127246751245029"/>
              <c:y val="0.930105916271383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382047"/>
        <c:crosses val="autoZero"/>
        <c:auto val="1"/>
        <c:lblAlgn val="ctr"/>
        <c:lblOffset val="100"/>
        <c:noMultiLvlLbl val="0"/>
      </c:catAx>
      <c:valAx>
        <c:axId val="56138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UPI Value (Rs. in Cr.)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36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State-Wise UPI Value (2023-24)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UPI_State_Snapshot_2023_24!$C$1</c:f>
              <c:strCache>
                <c:ptCount val="1"/>
                <c:pt idx="0">
                  <c:v>UPI Value (2023-24)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UPI_State_Snapshot_2023_24!$B$2:$B$34</c:f>
              <c:strCache>
                <c:ptCount val="33"/>
                <c:pt idx="0">
                  <c:v>MAHARASHTRA</c:v>
                </c:pt>
                <c:pt idx="1">
                  <c:v>KARNATAKA</c:v>
                </c:pt>
                <c:pt idx="2">
                  <c:v>UTTAR PRADESH</c:v>
                </c:pt>
                <c:pt idx="3">
                  <c:v>TELANGANA</c:v>
                </c:pt>
                <c:pt idx="4">
                  <c:v>TAMIL NADU</c:v>
                </c:pt>
                <c:pt idx="5">
                  <c:v>RAJASTHAN</c:v>
                </c:pt>
                <c:pt idx="6">
                  <c:v>MADHYA PRADESH</c:v>
                </c:pt>
                <c:pt idx="7">
                  <c:v>ANDHRA PRADESH</c:v>
                </c:pt>
                <c:pt idx="8">
                  <c:v>DELHI</c:v>
                </c:pt>
                <c:pt idx="9">
                  <c:v>BIHAR</c:v>
                </c:pt>
                <c:pt idx="10">
                  <c:v>GUJARAT</c:v>
                </c:pt>
                <c:pt idx="11">
                  <c:v>WEST BENGAL</c:v>
                </c:pt>
                <c:pt idx="12">
                  <c:v>HARYANA</c:v>
                </c:pt>
                <c:pt idx="13">
                  <c:v>KERALA</c:v>
                </c:pt>
                <c:pt idx="14">
                  <c:v>ODISHA</c:v>
                </c:pt>
                <c:pt idx="15">
                  <c:v>PUNJAB</c:v>
                </c:pt>
                <c:pt idx="16">
                  <c:v>ASSAM</c:v>
                </c:pt>
                <c:pt idx="17">
                  <c:v>JHARKHAND</c:v>
                </c:pt>
                <c:pt idx="18">
                  <c:v>CHHATTISGARH</c:v>
                </c:pt>
                <c:pt idx="19">
                  <c:v>UTTARAKHAND</c:v>
                </c:pt>
                <c:pt idx="20">
                  <c:v>JAMMU &amp; KASHMIR</c:v>
                </c:pt>
                <c:pt idx="21">
                  <c:v>HIMACHAL PRADESH</c:v>
                </c:pt>
                <c:pt idx="22">
                  <c:v>GOA</c:v>
                </c:pt>
                <c:pt idx="23">
                  <c:v>CHANDIGARH</c:v>
                </c:pt>
                <c:pt idx="24">
                  <c:v>PUDUCHERRY</c:v>
                </c:pt>
                <c:pt idx="25">
                  <c:v>ARUNACHAL PRADESH</c:v>
                </c:pt>
                <c:pt idx="26">
                  <c:v>TRIPURA</c:v>
                </c:pt>
                <c:pt idx="27">
                  <c:v>MEGHALAYA</c:v>
                </c:pt>
                <c:pt idx="28">
                  <c:v>MANIPUR</c:v>
                </c:pt>
                <c:pt idx="29">
                  <c:v>NAGALAND</c:v>
                </c:pt>
                <c:pt idx="30">
                  <c:v>MIZORAM</c:v>
                </c:pt>
                <c:pt idx="31">
                  <c:v>SIKKIM</c:v>
                </c:pt>
                <c:pt idx="32">
                  <c:v>ANDAMAN &amp; NICOBAR</c:v>
                </c:pt>
              </c:strCache>
            </c:strRef>
          </c:cat>
          <c:val>
            <c:numRef>
              <c:f>UPI_State_Snapshot_2023_24!$C$2:$C$34</c:f>
              <c:numCache>
                <c:formatCode>General</c:formatCode>
                <c:ptCount val="33"/>
                <c:pt idx="0">
                  <c:v>3168886.74</c:v>
                </c:pt>
                <c:pt idx="1">
                  <c:v>1556774.37</c:v>
                </c:pt>
                <c:pt idx="2">
                  <c:v>1513523.1099999999</c:v>
                </c:pt>
                <c:pt idx="3">
                  <c:v>1307898.7900000003</c:v>
                </c:pt>
                <c:pt idx="4">
                  <c:v>1024543.2799999999</c:v>
                </c:pt>
                <c:pt idx="5">
                  <c:v>885122.88000000012</c:v>
                </c:pt>
                <c:pt idx="6">
                  <c:v>832228.26000000013</c:v>
                </c:pt>
                <c:pt idx="7">
                  <c:v>751565.26000000013</c:v>
                </c:pt>
                <c:pt idx="8">
                  <c:v>730871.7</c:v>
                </c:pt>
                <c:pt idx="9">
                  <c:v>697084.81</c:v>
                </c:pt>
                <c:pt idx="10">
                  <c:v>655633.79</c:v>
                </c:pt>
                <c:pt idx="11">
                  <c:v>632247.77</c:v>
                </c:pt>
                <c:pt idx="12">
                  <c:v>502322.18999999994</c:v>
                </c:pt>
                <c:pt idx="13">
                  <c:v>442393.59</c:v>
                </c:pt>
                <c:pt idx="14">
                  <c:v>407989.27000000008</c:v>
                </c:pt>
                <c:pt idx="15">
                  <c:v>314021.34000000003</c:v>
                </c:pt>
                <c:pt idx="16">
                  <c:v>208963.05000000005</c:v>
                </c:pt>
                <c:pt idx="17">
                  <c:v>201375.52</c:v>
                </c:pt>
                <c:pt idx="18">
                  <c:v>163277.75</c:v>
                </c:pt>
                <c:pt idx="19">
                  <c:v>138981.97999999998</c:v>
                </c:pt>
                <c:pt idx="20">
                  <c:v>67712.26999999999</c:v>
                </c:pt>
                <c:pt idx="21">
                  <c:v>67848.240000000005</c:v>
                </c:pt>
                <c:pt idx="22">
                  <c:v>40899.899999999994</c:v>
                </c:pt>
                <c:pt idx="23">
                  <c:v>34537.519999999997</c:v>
                </c:pt>
                <c:pt idx="24">
                  <c:v>20812.170000000002</c:v>
                </c:pt>
                <c:pt idx="25">
                  <c:v>20423.699999999997</c:v>
                </c:pt>
                <c:pt idx="26">
                  <c:v>15898.01</c:v>
                </c:pt>
                <c:pt idx="27">
                  <c:v>14470.89</c:v>
                </c:pt>
                <c:pt idx="28">
                  <c:v>15544.12</c:v>
                </c:pt>
                <c:pt idx="29">
                  <c:v>13274.339999999998</c:v>
                </c:pt>
                <c:pt idx="30">
                  <c:v>12088.38</c:v>
                </c:pt>
                <c:pt idx="31">
                  <c:v>8903.59</c:v>
                </c:pt>
                <c:pt idx="32">
                  <c:v>5306.119999999999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C-4886-8D86-EE528519A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6644399"/>
        <c:axId val="1686654479"/>
      </c:barChart>
      <c:catAx>
        <c:axId val="16866443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654479"/>
        <c:crosses val="autoZero"/>
        <c:auto val="1"/>
        <c:lblAlgn val="ctr"/>
        <c:lblOffset val="100"/>
        <c:noMultiLvlLbl val="0"/>
      </c:catAx>
      <c:valAx>
        <c:axId val="168665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Rs.</a:t>
                </a:r>
                <a:r>
                  <a:rPr lang="en-US" baseline="0"/>
                  <a:t> in Cr.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64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467176</xdr:colOff>
      <xdr:row>40</xdr:row>
      <xdr:rowOff>116114</xdr:rowOff>
    </xdr:from>
    <xdr:to>
      <xdr:col>31</xdr:col>
      <xdr:colOff>852714</xdr:colOff>
      <xdr:row>86</xdr:row>
      <xdr:rowOff>136071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627EFD-FA84-E130-7C5B-CA3F3757D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520700</xdr:colOff>
      <xdr:row>18</xdr:row>
      <xdr:rowOff>152401</xdr:rowOff>
    </xdr:from>
    <xdr:to>
      <xdr:col>5</xdr:col>
      <xdr:colOff>31750</xdr:colOff>
      <xdr:row>36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309A20-76FE-56AA-C755-0B38B19B2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371232</xdr:colOff>
      <xdr:row>18</xdr:row>
      <xdr:rowOff>41030</xdr:rowOff>
    </xdr:from>
    <xdr:to>
      <xdr:col>15</xdr:col>
      <xdr:colOff>444500</xdr:colOff>
      <xdr:row>35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341D57-C792-8891-5807-0204CEA79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440766</xdr:colOff>
      <xdr:row>41</xdr:row>
      <xdr:rowOff>134471</xdr:rowOff>
    </xdr:from>
    <xdr:to>
      <xdr:col>9</xdr:col>
      <xdr:colOff>14942</xdr:colOff>
      <xdr:row>68</xdr:row>
      <xdr:rowOff>52294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C81177-5C87-AA33-E45E-92AF50CA7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777505</xdr:colOff>
      <xdr:row>8</xdr:row>
      <xdr:rowOff>31432</xdr:rowOff>
    </xdr:from>
    <xdr:to>
      <xdr:col>14</xdr:col>
      <xdr:colOff>3994227</xdr:colOff>
      <xdr:row>37</xdr:row>
      <xdr:rowOff>143492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799DC5-FEDA-2119-6B15-7CBCC0725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411664</xdr:colOff>
      <xdr:row>17</xdr:row>
      <xdr:rowOff>111540</xdr:rowOff>
    </xdr:from>
    <xdr:to>
      <xdr:col>7</xdr:col>
      <xdr:colOff>527326</xdr:colOff>
      <xdr:row>42</xdr:row>
      <xdr:rowOff>30804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8609D8-26C1-BF37-7D88-737155A44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550871</xdr:colOff>
      <xdr:row>17</xdr:row>
      <xdr:rowOff>171450</xdr:rowOff>
    </xdr:from>
    <xdr:to>
      <xdr:col>23</xdr:col>
      <xdr:colOff>522941</xdr:colOff>
      <xdr:row>42</xdr:row>
      <xdr:rowOff>82176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4EE34E-21E0-66CC-CA05-078E09D91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2241177</xdr:colOff>
      <xdr:row>41</xdr:row>
      <xdr:rowOff>96369</xdr:rowOff>
    </xdr:from>
    <xdr:to>
      <xdr:col>11</xdr:col>
      <xdr:colOff>418352</xdr:colOff>
      <xdr:row>77</xdr:row>
      <xdr:rowOff>74706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5AEB24-18DC-9CD3-4A23-006811D0A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 Sachin Kujur" refreshedDate="46020.497536111114" createdVersion="8" refreshedVersion="8" minRefreshableVersion="3" recordCount="454" xr:uid="{E30646B5-11B8-49EE-BA09-E6CE7360128B}">
  <cacheSource type="worksheet">
    <worksheetSource ref="A1:D455" sheet="Retail_GSVA_States"/>
  </cacheSource>
  <cacheFields count="4">
    <cacheField name="S.No." numFmtId="0">
      <sharedItems containsSemiMixedTypes="0" containsString="0" containsNumber="1" containsInteger="1" minValue="1" maxValue="454"/>
    </cacheField>
    <cacheField name=" State " numFmtId="0">
      <sharedItems count="33">
        <s v="Andhra Pradesh"/>
        <s v="Arunachal Pradesh"/>
        <s v="Assam"/>
        <s v="Bihar"/>
        <s v="Chandigarh"/>
        <s v="Chhattisgarh"/>
        <s v="Delhi"/>
        <s v="Goa"/>
        <s v="Gujarat"/>
        <s v="Haryana"/>
        <s v="Himachal Pradesh"/>
        <s v="Jammu &amp; Kashmir"/>
        <s v="Jharkhand"/>
        <s v="Karnataka"/>
        <s v="Kerala"/>
        <s v="Madhya Pradesh"/>
        <s v="Maharashtra"/>
        <s v="Manipur"/>
        <s v="Meghalaya"/>
        <s v="Mizoram"/>
        <s v="Nagaland"/>
        <s v="Odisha"/>
        <s v="Andaman &amp; Nicobar Islands"/>
        <s v="Puducherry"/>
        <s v="Punjab"/>
        <s v="Rajasthan"/>
        <s v="Sikkim"/>
        <s v="Tamil Nadu"/>
        <s v="Telangana"/>
        <s v="Tripura"/>
        <s v="Uttarakhand"/>
        <s v="Uttar Pradesh"/>
        <s v="West Bengal"/>
      </sharedItems>
    </cacheField>
    <cacheField name=" Year " numFmtId="0">
      <sharedItems count="14">
        <s v="2011-12"/>
        <s v="2012-13"/>
        <s v="2013-14"/>
        <s v="2014-15"/>
        <s v="2015-16"/>
        <s v="2016-17"/>
        <s v="2017-18"/>
        <s v="2018-19"/>
        <s v="2019-20"/>
        <s v="2020-21"/>
        <s v="2021-22"/>
        <s v="2022-23"/>
        <s v="2023-24"/>
        <s v="2024-25"/>
      </sharedItems>
    </cacheField>
    <cacheField name=" Retail_GSVA " numFmtId="0">
      <sharedItems containsSemiMixedTypes="0" containsString="0" containsNumber="1" minValue="31445.820800000001" maxValue="18550728.94625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 Sachin Kujur" refreshedDate="46023.742854745367" createdVersion="8" refreshedVersion="8" minRefreshableVersion="3" recordCount="115" xr:uid="{4B4490F9-34BE-4407-B11A-34FE11AD8E2C}">
  <cacheSource type="worksheet">
    <worksheetSource ref="A1:C116" sheet="UPI_ NATIONAL_MONTHLY"/>
  </cacheSource>
  <cacheFields count="3">
    <cacheField name="Month" numFmtId="0">
      <sharedItems count="12">
        <s v="April"/>
        <s v="May"/>
        <s v="June"/>
        <s v="July"/>
        <s v="August"/>
        <s v="September"/>
        <s v="October"/>
        <s v="November"/>
        <s v="December"/>
        <s v="January"/>
        <s v="February"/>
        <s v="March"/>
      </sharedItems>
    </cacheField>
    <cacheField name="Year" numFmtId="0">
      <sharedItems containsSemiMixedTypes="0" containsString="0" containsNumber="1" containsInteger="1" minValue="2016" maxValue="2025" count="10"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Volume (In Mn.)" numFmtId="0">
      <sharedItems containsSemiMixedTypes="0" containsString="0" containsNumber="1" minValue="0" maxValue="20700.91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 Sachin Kujur" refreshedDate="46023.744139120368" createdVersion="8" refreshedVersion="8" minRefreshableVersion="3" recordCount="115" xr:uid="{796C3009-B074-4E5C-9BC2-F0D506B8956B}">
  <cacheSource type="worksheet">
    <worksheetSource ref="A1:D116" sheet="UPI_ NATIONAL_MONTHLY"/>
  </cacheSource>
  <cacheFields count="4">
    <cacheField name="Month" numFmtId="0">
      <sharedItems count="12">
        <s v="April"/>
        <s v="May"/>
        <s v="June"/>
        <s v="July"/>
        <s v="August"/>
        <s v="September"/>
        <s v="October"/>
        <s v="November"/>
        <s v="December"/>
        <s v="January"/>
        <s v="February"/>
        <s v="March"/>
      </sharedItems>
    </cacheField>
    <cacheField name="Year" numFmtId="0">
      <sharedItems containsSemiMixedTypes="0" containsString="0" containsNumber="1" containsInteger="1" minValue="2016" maxValue="2025" count="10"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Volume (In Mn.)" numFmtId="0">
      <sharedItems containsSemiMixedTypes="0" containsString="0" containsNumber="1" minValue="0" maxValue="20700.919999999998"/>
    </cacheField>
    <cacheField name="Value (In Cr.)" numFmtId="0">
      <sharedItems containsSemiMixedTypes="0" containsString="0" containsNumber="1" minValue="0" maxValue="2727790.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4">
  <r>
    <n v="1"/>
    <x v="0"/>
    <x v="0"/>
    <n v="2673500"/>
  </r>
  <r>
    <n v="2"/>
    <x v="0"/>
    <x v="1"/>
    <n v="2955400"/>
  </r>
  <r>
    <n v="3"/>
    <x v="0"/>
    <x v="2"/>
    <n v="3314900"/>
  </r>
  <r>
    <n v="4"/>
    <x v="0"/>
    <x v="3"/>
    <n v="3678886"/>
  </r>
  <r>
    <n v="5"/>
    <x v="0"/>
    <x v="4"/>
    <n v="4321773"/>
  </r>
  <r>
    <n v="6"/>
    <x v="0"/>
    <x v="5"/>
    <n v="4345007"/>
  </r>
  <r>
    <n v="7"/>
    <x v="0"/>
    <x v="6"/>
    <n v="4728082.2484859284"/>
  </r>
  <r>
    <n v="8"/>
    <x v="0"/>
    <x v="7"/>
    <n v="5254769.8588167587"/>
  </r>
  <r>
    <n v="9"/>
    <x v="0"/>
    <x v="8"/>
    <n v="5577694.9131578952"/>
  </r>
  <r>
    <n v="10"/>
    <x v="0"/>
    <x v="9"/>
    <n v="4299583.2008396946"/>
  </r>
  <r>
    <n v="11"/>
    <x v="0"/>
    <x v="10"/>
    <n v="4909791.6112095229"/>
  </r>
  <r>
    <n v="12"/>
    <x v="0"/>
    <x v="11"/>
    <n v="5798289.0415077601"/>
  </r>
  <r>
    <n v="13"/>
    <x v="0"/>
    <x v="12"/>
    <n v="6405717.1037376048"/>
  </r>
  <r>
    <n v="14"/>
    <x v="0"/>
    <x v="13"/>
    <n v="6992062"/>
  </r>
  <r>
    <n v="15"/>
    <x v="1"/>
    <x v="0"/>
    <n v="59892"/>
  </r>
  <r>
    <n v="16"/>
    <x v="1"/>
    <x v="1"/>
    <n v="46755"/>
  </r>
  <r>
    <n v="17"/>
    <x v="1"/>
    <x v="2"/>
    <n v="60541"/>
  </r>
  <r>
    <n v="18"/>
    <x v="1"/>
    <x v="3"/>
    <n v="52921"/>
  </r>
  <r>
    <n v="19"/>
    <x v="1"/>
    <x v="4"/>
    <n v="51686"/>
  </r>
  <r>
    <n v="20"/>
    <x v="1"/>
    <x v="5"/>
    <n v="71123"/>
  </r>
  <r>
    <n v="21"/>
    <x v="1"/>
    <x v="6"/>
    <n v="67127"/>
  </r>
  <r>
    <n v="22"/>
    <x v="1"/>
    <x v="7"/>
    <n v="69813"/>
  </r>
  <r>
    <n v="23"/>
    <x v="1"/>
    <x v="8"/>
    <n v="75961"/>
  </r>
  <r>
    <n v="24"/>
    <x v="1"/>
    <x v="9"/>
    <n v="64551"/>
  </r>
  <r>
    <n v="25"/>
    <x v="1"/>
    <x v="10"/>
    <n v="55145.415531473591"/>
  </r>
  <r>
    <n v="26"/>
    <x v="1"/>
    <x v="11"/>
    <n v="60404.121435661364"/>
  </r>
  <r>
    <n v="27"/>
    <x v="1"/>
    <x v="12"/>
    <n v="63337.741636650397"/>
  </r>
  <r>
    <n v="28"/>
    <x v="1"/>
    <x v="13"/>
    <n v="64100.257502384455"/>
  </r>
  <r>
    <n v="29"/>
    <x v="2"/>
    <x v="0"/>
    <n v="2045676"/>
  </r>
  <r>
    <n v="30"/>
    <x v="2"/>
    <x v="1"/>
    <n v="2127460"/>
  </r>
  <r>
    <n v="31"/>
    <x v="2"/>
    <x v="2"/>
    <n v="2262227"/>
  </r>
  <r>
    <n v="32"/>
    <x v="2"/>
    <x v="3"/>
    <n v="2534132"/>
  </r>
  <r>
    <n v="33"/>
    <x v="2"/>
    <x v="4"/>
    <n v="2223850"/>
  </r>
  <r>
    <n v="34"/>
    <x v="2"/>
    <x v="5"/>
    <n v="2206094"/>
  </r>
  <r>
    <n v="35"/>
    <x v="2"/>
    <x v="6"/>
    <n v="2372154"/>
  </r>
  <r>
    <n v="36"/>
    <x v="2"/>
    <x v="7"/>
    <n v="2313574"/>
  </r>
  <r>
    <n v="37"/>
    <x v="2"/>
    <x v="8"/>
    <n v="2410026"/>
  </r>
  <r>
    <n v="38"/>
    <x v="2"/>
    <x v="9"/>
    <n v="3778776"/>
  </r>
  <r>
    <n v="39"/>
    <x v="2"/>
    <x v="10"/>
    <n v="1839162"/>
  </r>
  <r>
    <n v="40"/>
    <x v="2"/>
    <x v="11"/>
    <n v="2020860.637576639"/>
  </r>
  <r>
    <n v="41"/>
    <x v="2"/>
    <x v="12"/>
    <n v="2203697.8419222292"/>
  </r>
  <r>
    <n v="42"/>
    <x v="2"/>
    <x v="13"/>
    <n v="2390247.1535241441"/>
  </r>
  <r>
    <n v="43"/>
    <x v="3"/>
    <x v="0"/>
    <n v="4390442.0754727535"/>
  </r>
  <r>
    <n v="44"/>
    <x v="3"/>
    <x v="1"/>
    <n v="4672877.2046314524"/>
  </r>
  <r>
    <n v="45"/>
    <x v="3"/>
    <x v="2"/>
    <n v="4568274.688112624"/>
  </r>
  <r>
    <n v="46"/>
    <x v="3"/>
    <x v="3"/>
    <n v="4262584.9216541424"/>
  </r>
  <r>
    <n v="47"/>
    <x v="3"/>
    <x v="4"/>
    <n v="5042354.5978906136"/>
  </r>
  <r>
    <n v="48"/>
    <x v="3"/>
    <x v="5"/>
    <n v="5445576.686857013"/>
  </r>
  <r>
    <n v="49"/>
    <x v="3"/>
    <x v="6"/>
    <n v="6092899.7647150317"/>
  </r>
  <r>
    <n v="50"/>
    <x v="3"/>
    <x v="7"/>
    <n v="6600717.7153148381"/>
  </r>
  <r>
    <n v="51"/>
    <x v="3"/>
    <x v="8"/>
    <n v="6875796.8187053595"/>
  </r>
  <r>
    <n v="52"/>
    <x v="3"/>
    <x v="9"/>
    <n v="5778900.2775752563"/>
  </r>
  <r>
    <n v="53"/>
    <x v="3"/>
    <x v="10"/>
    <n v="5602045.3897529943"/>
  </r>
  <r>
    <n v="54"/>
    <x v="3"/>
    <x v="11"/>
    <n v="6491113.0287696477"/>
  </r>
  <r>
    <n v="55"/>
    <x v="3"/>
    <x v="12"/>
    <n v="6535861.6258689724"/>
  </r>
  <r>
    <n v="56"/>
    <x v="3"/>
    <x v="13"/>
    <n v="6836466.0003745127"/>
  </r>
  <r>
    <n v="57"/>
    <x v="4"/>
    <x v="0"/>
    <n v="614134"/>
  </r>
  <r>
    <n v="58"/>
    <x v="4"/>
    <x v="1"/>
    <n v="682914.52299817128"/>
  </r>
  <r>
    <n v="59"/>
    <x v="4"/>
    <x v="2"/>
    <n v="738834.56988859351"/>
  </r>
  <r>
    <n v="60"/>
    <x v="4"/>
    <x v="3"/>
    <n v="754141.60003540898"/>
  </r>
  <r>
    <n v="61"/>
    <x v="4"/>
    <x v="4"/>
    <n v="812027.45879714005"/>
  </r>
  <r>
    <n v="62"/>
    <x v="4"/>
    <x v="5"/>
    <n v="897599.53493938502"/>
  </r>
  <r>
    <n v="63"/>
    <x v="4"/>
    <x v="6"/>
    <n v="977879"/>
  </r>
  <r>
    <n v="64"/>
    <x v="4"/>
    <x v="7"/>
    <n v="1053525"/>
  </r>
  <r>
    <n v="65"/>
    <x v="4"/>
    <x v="8"/>
    <n v="1141776"/>
  </r>
  <r>
    <n v="66"/>
    <x v="4"/>
    <x v="9"/>
    <n v="856789"/>
  </r>
  <r>
    <n v="67"/>
    <x v="4"/>
    <x v="10"/>
    <n v="950529"/>
  </r>
  <r>
    <n v="68"/>
    <x v="4"/>
    <x v="11"/>
    <n v="1078803"/>
  </r>
  <r>
    <n v="69"/>
    <x v="4"/>
    <x v="12"/>
    <n v="1140548"/>
  </r>
  <r>
    <n v="70"/>
    <x v="5"/>
    <x v="0"/>
    <n v="932617"/>
  </r>
  <r>
    <n v="71"/>
    <x v="5"/>
    <x v="1"/>
    <n v="1021682"/>
  </r>
  <r>
    <n v="72"/>
    <x v="5"/>
    <x v="2"/>
    <n v="1129497"/>
  </r>
  <r>
    <n v="73"/>
    <x v="5"/>
    <x v="3"/>
    <n v="1154290"/>
  </r>
  <r>
    <n v="74"/>
    <x v="5"/>
    <x v="4"/>
    <n v="1215208"/>
  </r>
  <r>
    <n v="75"/>
    <x v="5"/>
    <x v="5"/>
    <n v="1538875"/>
  </r>
  <r>
    <n v="76"/>
    <x v="5"/>
    <x v="6"/>
    <n v="1417566"/>
  </r>
  <r>
    <n v="77"/>
    <x v="5"/>
    <x v="7"/>
    <n v="1558394"/>
  </r>
  <r>
    <n v="78"/>
    <x v="5"/>
    <x v="8"/>
    <n v="1606573"/>
  </r>
  <r>
    <n v="79"/>
    <x v="5"/>
    <x v="9"/>
    <n v="1218717"/>
  </r>
  <r>
    <n v="80"/>
    <x v="5"/>
    <x v="10"/>
    <n v="1325511"/>
  </r>
  <r>
    <n v="81"/>
    <x v="5"/>
    <x v="11"/>
    <n v="1643293"/>
  </r>
  <r>
    <n v="82"/>
    <x v="5"/>
    <x v="12"/>
    <n v="1962075"/>
  </r>
  <r>
    <n v="83"/>
    <x v="5"/>
    <x v="13"/>
    <n v="2237854"/>
  </r>
  <r>
    <n v="84"/>
    <x v="6"/>
    <x v="0"/>
    <n v="4212068.2896999996"/>
  </r>
  <r>
    <n v="85"/>
    <x v="6"/>
    <x v="1"/>
    <n v="4589076.6777809588"/>
  </r>
  <r>
    <n v="86"/>
    <x v="6"/>
    <x v="2"/>
    <n v="5028155.7438359288"/>
  </r>
  <r>
    <n v="87"/>
    <x v="6"/>
    <x v="3"/>
    <n v="5120382.9715650557"/>
  </r>
  <r>
    <n v="88"/>
    <x v="6"/>
    <x v="4"/>
    <n v="5931557.7405671645"/>
  </r>
  <r>
    <n v="89"/>
    <x v="6"/>
    <x v="5"/>
    <n v="6245681.784407692"/>
  </r>
  <r>
    <n v="90"/>
    <x v="6"/>
    <x v="6"/>
    <n v="6820833.5879430678"/>
  </r>
  <r>
    <n v="91"/>
    <x v="6"/>
    <x v="7"/>
    <n v="7520088.8551616296"/>
  </r>
  <r>
    <n v="92"/>
    <x v="6"/>
    <x v="8"/>
    <n v="7947769.6794410832"/>
  </r>
  <r>
    <n v="93"/>
    <x v="6"/>
    <x v="9"/>
    <n v="6143522.4062144086"/>
  </r>
  <r>
    <n v="94"/>
    <x v="6"/>
    <x v="10"/>
    <n v="6608201.2175415605"/>
  </r>
  <r>
    <n v="95"/>
    <x v="6"/>
    <x v="11"/>
    <n v="7330734.9132427601"/>
  </r>
  <r>
    <n v="96"/>
    <x v="6"/>
    <x v="12"/>
    <n v="7967058.7539096298"/>
  </r>
  <r>
    <n v="97"/>
    <x v="6"/>
    <x v="13"/>
    <n v="8498076.3314151894"/>
  </r>
  <r>
    <n v="98"/>
    <x v="7"/>
    <x v="0"/>
    <n v="259614.6574"/>
  </r>
  <r>
    <n v="99"/>
    <x v="7"/>
    <x v="1"/>
    <n v="238037.67700074485"/>
  </r>
  <r>
    <n v="100"/>
    <x v="7"/>
    <x v="2"/>
    <n v="241585.24308472118"/>
  </r>
  <r>
    <n v="101"/>
    <x v="7"/>
    <x v="3"/>
    <n v="250266.04485332652"/>
  </r>
  <r>
    <n v="102"/>
    <x v="7"/>
    <x v="4"/>
    <n v="269968.8098391149"/>
  </r>
  <r>
    <n v="103"/>
    <x v="7"/>
    <x v="5"/>
    <n v="314038.8561060846"/>
  </r>
  <r>
    <n v="104"/>
    <x v="7"/>
    <x v="6"/>
    <n v="293828.19105098932"/>
  </r>
  <r>
    <n v="105"/>
    <x v="7"/>
    <x v="7"/>
    <n v="380558.17543765868"/>
  </r>
  <r>
    <n v="106"/>
    <x v="7"/>
    <x v="8"/>
    <n v="388523.9030906891"/>
  </r>
  <r>
    <n v="107"/>
    <x v="7"/>
    <x v="9"/>
    <n v="300523.80825369031"/>
  </r>
  <r>
    <n v="108"/>
    <x v="7"/>
    <x v="10"/>
    <n v="346133.58110344049"/>
  </r>
  <r>
    <n v="109"/>
    <x v="7"/>
    <x v="11"/>
    <n v="444105.6098626834"/>
  </r>
  <r>
    <n v="110"/>
    <x v="7"/>
    <x v="12"/>
    <n v="487812.48665978957"/>
  </r>
  <r>
    <n v="111"/>
    <x v="8"/>
    <x v="0"/>
    <n v="6646396.1412174683"/>
  </r>
  <r>
    <n v="112"/>
    <x v="8"/>
    <x v="1"/>
    <n v="7862424.1099105859"/>
  </r>
  <r>
    <n v="113"/>
    <x v="8"/>
    <x v="2"/>
    <n v="8098296.8332079034"/>
  </r>
  <r>
    <n v="114"/>
    <x v="8"/>
    <x v="3"/>
    <n v="8932421.4070283175"/>
  </r>
  <r>
    <n v="115"/>
    <x v="8"/>
    <x v="4"/>
    <n v="9575555.7483343557"/>
  </r>
  <r>
    <n v="116"/>
    <x v="8"/>
    <x v="5"/>
    <n v="10648017.992147803"/>
  </r>
  <r>
    <n v="117"/>
    <x v="8"/>
    <x v="6"/>
    <n v="11957724.205181982"/>
  </r>
  <r>
    <n v="118"/>
    <x v="8"/>
    <x v="7"/>
    <n v="13344820.21298309"/>
  </r>
  <r>
    <n v="119"/>
    <x v="8"/>
    <x v="8"/>
    <n v="14616581.579280401"/>
  </r>
  <r>
    <n v="120"/>
    <x v="8"/>
    <x v="9"/>
    <n v="12832721.00283399"/>
  </r>
  <r>
    <n v="121"/>
    <x v="8"/>
    <x v="10"/>
    <n v="13857576.237788081"/>
  </r>
  <r>
    <n v="122"/>
    <x v="8"/>
    <x v="11"/>
    <n v="15315062.104721718"/>
  </r>
  <r>
    <n v="123"/>
    <x v="8"/>
    <x v="12"/>
    <n v="17034178.898538545"/>
  </r>
  <r>
    <n v="124"/>
    <x v="9"/>
    <x v="0"/>
    <n v="3310741.617737371"/>
  </r>
  <r>
    <n v="125"/>
    <x v="9"/>
    <x v="1"/>
    <n v="3623928.6121909963"/>
  </r>
  <r>
    <n v="126"/>
    <x v="9"/>
    <x v="2"/>
    <n v="3843440.4661615668"/>
  </r>
  <r>
    <n v="127"/>
    <x v="9"/>
    <x v="3"/>
    <n v="4309744.1106291274"/>
  </r>
  <r>
    <n v="128"/>
    <x v="9"/>
    <x v="4"/>
    <n v="5032464.7987791523"/>
  </r>
  <r>
    <n v="129"/>
    <x v="9"/>
    <x v="5"/>
    <n v="5598673.4366213623"/>
  </r>
  <r>
    <n v="130"/>
    <x v="9"/>
    <x v="6"/>
    <n v="6264536.0859739911"/>
  </r>
  <r>
    <n v="131"/>
    <x v="9"/>
    <x v="7"/>
    <n v="6927780.0111257723"/>
  </r>
  <r>
    <n v="132"/>
    <x v="9"/>
    <x v="8"/>
    <n v="7440278.4579740576"/>
  </r>
  <r>
    <n v="133"/>
    <x v="9"/>
    <x v="9"/>
    <n v="5948636.0576334512"/>
  </r>
  <r>
    <n v="134"/>
    <x v="9"/>
    <x v="10"/>
    <n v="6538523.1898796503"/>
  </r>
  <r>
    <n v="135"/>
    <x v="9"/>
    <x v="11"/>
    <n v="7288426.3363480819"/>
  </r>
  <r>
    <n v="136"/>
    <x v="9"/>
    <x v="12"/>
    <n v="8077333.1398421843"/>
  </r>
  <r>
    <n v="137"/>
    <x v="9"/>
    <x v="13"/>
    <n v="8766200.612905968"/>
  </r>
  <r>
    <n v="138"/>
    <x v="10"/>
    <x v="0"/>
    <n v="456828.6238031211"/>
  </r>
  <r>
    <n v="139"/>
    <x v="10"/>
    <x v="1"/>
    <n v="475494.52990059392"/>
  </r>
  <r>
    <n v="140"/>
    <x v="10"/>
    <x v="2"/>
    <n v="507916.08685638389"/>
  </r>
  <r>
    <n v="141"/>
    <x v="10"/>
    <x v="3"/>
    <n v="566701.56947093853"/>
  </r>
  <r>
    <n v="142"/>
    <x v="10"/>
    <x v="4"/>
    <n v="647428.16820385505"/>
  </r>
  <r>
    <n v="143"/>
    <x v="10"/>
    <x v="5"/>
    <n v="683934.72370552528"/>
  </r>
  <r>
    <n v="144"/>
    <x v="10"/>
    <x v="6"/>
    <n v="740544.64159479341"/>
  </r>
  <r>
    <n v="145"/>
    <x v="10"/>
    <x v="7"/>
    <n v="790768.11140086898"/>
  </r>
  <r>
    <n v="146"/>
    <x v="10"/>
    <x v="8"/>
    <n v="863668.08200968755"/>
  </r>
  <r>
    <n v="147"/>
    <x v="10"/>
    <x v="9"/>
    <n v="872056.20154958719"/>
  </r>
  <r>
    <n v="148"/>
    <x v="10"/>
    <x v="10"/>
    <n v="875257.09502325475"/>
  </r>
  <r>
    <n v="149"/>
    <x v="10"/>
    <x v="11"/>
    <n v="960671.55552284629"/>
  </r>
  <r>
    <n v="150"/>
    <x v="10"/>
    <x v="12"/>
    <n v="1087133.1764015693"/>
  </r>
  <r>
    <n v="151"/>
    <x v="10"/>
    <x v="13"/>
    <n v="1130040.6457738269"/>
  </r>
  <r>
    <n v="152"/>
    <x v="11"/>
    <x v="0"/>
    <n v="667074.20150667301"/>
  </r>
  <r>
    <n v="153"/>
    <x v="11"/>
    <x v="1"/>
    <n v="751709.40132935822"/>
  </r>
  <r>
    <n v="154"/>
    <x v="11"/>
    <x v="2"/>
    <n v="787767.01529095357"/>
  </r>
  <r>
    <n v="155"/>
    <x v="11"/>
    <x v="3"/>
    <n v="765735.15664710593"/>
  </r>
  <r>
    <n v="156"/>
    <x v="11"/>
    <x v="4"/>
    <n v="857054.2028445428"/>
  </r>
  <r>
    <n v="157"/>
    <x v="11"/>
    <x v="5"/>
    <n v="911073.10200459196"/>
  </r>
  <r>
    <n v="158"/>
    <x v="11"/>
    <x v="6"/>
    <n v="1012473.4145453667"/>
  </r>
  <r>
    <n v="159"/>
    <x v="11"/>
    <x v="7"/>
    <n v="1103135.499531883"/>
  </r>
  <r>
    <n v="160"/>
    <x v="11"/>
    <x v="8"/>
    <n v="1102206.8966411876"/>
  </r>
  <r>
    <n v="161"/>
    <x v="11"/>
    <x v="9"/>
    <n v="781600.31019631226"/>
  </r>
  <r>
    <n v="162"/>
    <x v="11"/>
    <x v="10"/>
    <n v="941257.81405905983"/>
  </r>
  <r>
    <n v="163"/>
    <x v="11"/>
    <x v="11"/>
    <n v="1106154.1721227937"/>
  </r>
  <r>
    <n v="164"/>
    <x v="11"/>
    <x v="12"/>
    <n v="1114971.5157860918"/>
  </r>
  <r>
    <n v="165"/>
    <x v="11"/>
    <x v="13"/>
    <n v="1194096.4883010585"/>
  </r>
  <r>
    <n v="166"/>
    <x v="12"/>
    <x v="0"/>
    <n v="1152143"/>
  </r>
  <r>
    <n v="167"/>
    <x v="12"/>
    <x v="1"/>
    <n v="1287305"/>
  </r>
  <r>
    <n v="168"/>
    <x v="12"/>
    <x v="2"/>
    <n v="1400566"/>
  </r>
  <r>
    <n v="169"/>
    <x v="12"/>
    <x v="3"/>
    <n v="1549332"/>
  </r>
  <r>
    <n v="170"/>
    <x v="12"/>
    <x v="4"/>
    <n v="1777188"/>
  </r>
  <r>
    <n v="171"/>
    <x v="12"/>
    <x v="5"/>
    <n v="2017464"/>
  </r>
  <r>
    <n v="172"/>
    <x v="12"/>
    <x v="6"/>
    <n v="2275871"/>
  </r>
  <r>
    <n v="173"/>
    <x v="12"/>
    <x v="7"/>
    <n v="2656896"/>
  </r>
  <r>
    <n v="174"/>
    <x v="12"/>
    <x v="8"/>
    <n v="2928867"/>
  </r>
  <r>
    <n v="175"/>
    <x v="12"/>
    <x v="9"/>
    <n v="2423282"/>
  </r>
  <r>
    <n v="176"/>
    <x v="12"/>
    <x v="10"/>
    <n v="2567872"/>
  </r>
  <r>
    <n v="177"/>
    <x v="12"/>
    <x v="11"/>
    <n v="3001476"/>
  </r>
  <r>
    <n v="178"/>
    <x v="12"/>
    <x v="12"/>
    <n v="3113077"/>
  </r>
  <r>
    <n v="179"/>
    <x v="12"/>
    <x v="13"/>
    <n v="3244628"/>
  </r>
  <r>
    <n v="180"/>
    <x v="13"/>
    <x v="0"/>
    <n v="6044366.9995430242"/>
  </r>
  <r>
    <n v="181"/>
    <x v="13"/>
    <x v="1"/>
    <n v="6441601.6856466215"/>
  </r>
  <r>
    <n v="182"/>
    <x v="13"/>
    <x v="2"/>
    <n v="7093957.794866791"/>
  </r>
  <r>
    <n v="183"/>
    <x v="13"/>
    <x v="3"/>
    <n v="7560180.8915575091"/>
  </r>
  <r>
    <n v="184"/>
    <x v="13"/>
    <x v="4"/>
    <n v="7734152.4663601657"/>
  </r>
  <r>
    <n v="185"/>
    <x v="13"/>
    <x v="5"/>
    <n v="8557165.2977815568"/>
  </r>
  <r>
    <n v="186"/>
    <x v="13"/>
    <x v="6"/>
    <n v="9686849.9269641601"/>
  </r>
  <r>
    <n v="187"/>
    <x v="13"/>
    <x v="7"/>
    <n v="11058684.182117753"/>
  </r>
  <r>
    <n v="188"/>
    <x v="13"/>
    <x v="8"/>
    <n v="11720487.390868409"/>
  </r>
  <r>
    <n v="189"/>
    <x v="13"/>
    <x v="9"/>
    <n v="8758051.5031056572"/>
  </r>
  <r>
    <n v="190"/>
    <x v="13"/>
    <x v="10"/>
    <n v="10398481.898575382"/>
  </r>
  <r>
    <n v="191"/>
    <x v="13"/>
    <x v="11"/>
    <n v="12533065.872745266"/>
  </r>
  <r>
    <n v="192"/>
    <x v="13"/>
    <x v="12"/>
    <n v="12975635.648943339"/>
  </r>
  <r>
    <n v="193"/>
    <x v="13"/>
    <x v="13"/>
    <n v="13736566.484778646"/>
  </r>
  <r>
    <n v="194"/>
    <x v="14"/>
    <x v="0"/>
    <n v="5321692"/>
  </r>
  <r>
    <n v="195"/>
    <x v="14"/>
    <x v="1"/>
    <n v="6056645"/>
  </r>
  <r>
    <n v="196"/>
    <x v="14"/>
    <x v="2"/>
    <n v="6191493.030330006"/>
  </r>
  <r>
    <n v="197"/>
    <x v="14"/>
    <x v="3"/>
    <n v="6572440.757842645"/>
  </r>
  <r>
    <n v="198"/>
    <x v="14"/>
    <x v="4"/>
    <n v="7068460.6552736768"/>
  </r>
  <r>
    <n v="199"/>
    <x v="14"/>
    <x v="5"/>
    <n v="7188898.7931963196"/>
  </r>
  <r>
    <n v="200"/>
    <x v="14"/>
    <x v="6"/>
    <n v="7738372.9679139778"/>
  </r>
  <r>
    <n v="201"/>
    <x v="14"/>
    <x v="7"/>
    <n v="8545827.5356922913"/>
  </r>
  <r>
    <n v="202"/>
    <x v="14"/>
    <x v="8"/>
    <n v="9117190.7279445753"/>
  </r>
  <r>
    <n v="203"/>
    <x v="14"/>
    <x v="9"/>
    <n v="6885193.8308616234"/>
  </r>
  <r>
    <n v="204"/>
    <x v="14"/>
    <x v="10"/>
    <n v="8349769.0653998749"/>
  </r>
  <r>
    <n v="205"/>
    <x v="14"/>
    <x v="11"/>
    <n v="9924364.738347223"/>
  </r>
  <r>
    <n v="206"/>
    <x v="14"/>
    <x v="12"/>
    <n v="10329246.319483049"/>
  </r>
  <r>
    <n v="207"/>
    <x v="14"/>
    <x v="13"/>
    <n v="11560960.452795554"/>
  </r>
  <r>
    <n v="208"/>
    <x v="15"/>
    <x v="0"/>
    <n v="3378935"/>
  </r>
  <r>
    <n v="209"/>
    <x v="15"/>
    <x v="1"/>
    <n v="3747267"/>
  </r>
  <r>
    <n v="210"/>
    <x v="15"/>
    <x v="2"/>
    <n v="3890257"/>
  </r>
  <r>
    <n v="211"/>
    <x v="15"/>
    <x v="3"/>
    <n v="4062768"/>
  </r>
  <r>
    <n v="212"/>
    <x v="15"/>
    <x v="4"/>
    <n v="4287194"/>
  </r>
  <r>
    <n v="213"/>
    <x v="15"/>
    <x v="5"/>
    <n v="4830781"/>
  </r>
  <r>
    <n v="214"/>
    <x v="15"/>
    <x v="6"/>
    <n v="5282407"/>
  </r>
  <r>
    <n v="215"/>
    <x v="15"/>
    <x v="7"/>
    <n v="6079542"/>
  </r>
  <r>
    <n v="216"/>
    <x v="15"/>
    <x v="8"/>
    <n v="6301514"/>
  </r>
  <r>
    <n v="217"/>
    <x v="15"/>
    <x v="9"/>
    <n v="4838760"/>
  </r>
  <r>
    <n v="218"/>
    <x v="15"/>
    <x v="10"/>
    <n v="5695609"/>
  </r>
  <r>
    <n v="219"/>
    <x v="15"/>
    <x v="11"/>
    <n v="6471506"/>
  </r>
  <r>
    <n v="220"/>
    <x v="15"/>
    <x v="12"/>
    <n v="6560080"/>
  </r>
  <r>
    <n v="221"/>
    <x v="15"/>
    <x v="13"/>
    <n v="7150281"/>
  </r>
  <r>
    <n v="222"/>
    <x v="16"/>
    <x v="0"/>
    <n v="10560912.413861036"/>
  </r>
  <r>
    <n v="223"/>
    <x v="16"/>
    <x v="1"/>
    <n v="11681538.933889072"/>
  </r>
  <r>
    <n v="224"/>
    <x v="16"/>
    <x v="2"/>
    <n v="11513192.41030558"/>
  </r>
  <r>
    <n v="225"/>
    <x v="16"/>
    <x v="3"/>
    <n v="11887258.426090142"/>
  </r>
  <r>
    <n v="226"/>
    <x v="16"/>
    <x v="4"/>
    <n v="11940631.392670158"/>
  </r>
  <r>
    <n v="227"/>
    <x v="16"/>
    <x v="5"/>
    <n v="13409917.378223112"/>
  </r>
  <r>
    <n v="228"/>
    <x v="16"/>
    <x v="6"/>
    <n v="14504738.590643274"/>
  </r>
  <r>
    <n v="229"/>
    <x v="16"/>
    <x v="7"/>
    <n v="16410747.667601509"/>
  </r>
  <r>
    <n v="230"/>
    <x v="16"/>
    <x v="8"/>
    <n v="16931707.334131099"/>
  </r>
  <r>
    <n v="231"/>
    <x v="16"/>
    <x v="9"/>
    <n v="12519903.149360277"/>
  </r>
  <r>
    <n v="232"/>
    <x v="16"/>
    <x v="10"/>
    <n v="14665376.108949048"/>
  </r>
  <r>
    <n v="233"/>
    <x v="16"/>
    <x v="11"/>
    <n v="16744694.408131713"/>
  </r>
  <r>
    <n v="234"/>
    <x v="16"/>
    <x v="12"/>
    <n v="17628320.704196434"/>
  </r>
  <r>
    <n v="235"/>
    <x v="16"/>
    <x v="13"/>
    <n v="18550728.94625264"/>
  </r>
  <r>
    <n v="236"/>
    <x v="17"/>
    <x v="0"/>
    <n v="156450"/>
  </r>
  <r>
    <n v="237"/>
    <x v="17"/>
    <x v="1"/>
    <n v="130915"/>
  </r>
  <r>
    <n v="238"/>
    <x v="17"/>
    <x v="2"/>
    <n v="190705"/>
  </r>
  <r>
    <n v="239"/>
    <x v="17"/>
    <x v="3"/>
    <n v="203972"/>
  </r>
  <r>
    <n v="240"/>
    <x v="17"/>
    <x v="4"/>
    <n v="237194"/>
  </r>
  <r>
    <n v="241"/>
    <x v="17"/>
    <x v="5"/>
    <n v="256129"/>
  </r>
  <r>
    <n v="242"/>
    <x v="17"/>
    <x v="6"/>
    <n v="283085"/>
  </r>
  <r>
    <n v="243"/>
    <x v="17"/>
    <x v="7"/>
    <n v="307748"/>
  </r>
  <r>
    <n v="244"/>
    <x v="17"/>
    <x v="8"/>
    <n v="327129"/>
  </r>
  <r>
    <n v="245"/>
    <x v="17"/>
    <x v="9"/>
    <n v="253188"/>
  </r>
  <r>
    <n v="246"/>
    <x v="17"/>
    <x v="10"/>
    <n v="282501"/>
  </r>
  <r>
    <n v="247"/>
    <x v="17"/>
    <x v="11"/>
    <n v="315717"/>
  </r>
  <r>
    <n v="248"/>
    <x v="17"/>
    <x v="12"/>
    <n v="337426"/>
  </r>
  <r>
    <n v="249"/>
    <x v="18"/>
    <x v="0"/>
    <n v="258057.6466255764"/>
  </r>
  <r>
    <n v="250"/>
    <x v="18"/>
    <x v="1"/>
    <n v="298977.5992739416"/>
  </r>
  <r>
    <n v="251"/>
    <x v="18"/>
    <x v="2"/>
    <n v="328737.50910511828"/>
  </r>
  <r>
    <n v="252"/>
    <x v="18"/>
    <x v="3"/>
    <n v="336505.20133436134"/>
  </r>
  <r>
    <n v="253"/>
    <x v="18"/>
    <x v="4"/>
    <n v="394421.95503598254"/>
  </r>
  <r>
    <n v="254"/>
    <x v="18"/>
    <x v="5"/>
    <n v="446270.09966690303"/>
  </r>
  <r>
    <n v="255"/>
    <x v="18"/>
    <x v="6"/>
    <n v="498906.23787697143"/>
  </r>
  <r>
    <n v="256"/>
    <x v="18"/>
    <x v="7"/>
    <n v="572363.228758201"/>
  </r>
  <r>
    <n v="257"/>
    <x v="18"/>
    <x v="8"/>
    <n v="628937.75943055796"/>
  </r>
  <r>
    <n v="258"/>
    <x v="18"/>
    <x v="9"/>
    <n v="525772.63196214824"/>
  </r>
  <r>
    <n v="259"/>
    <x v="18"/>
    <x v="10"/>
    <n v="540262.62920485577"/>
  </r>
  <r>
    <n v="260"/>
    <x v="18"/>
    <x v="11"/>
    <n v="607956.70772636845"/>
  </r>
  <r>
    <n v="261"/>
    <x v="18"/>
    <x v="12"/>
    <n v="663599.5408214397"/>
  </r>
  <r>
    <n v="262"/>
    <x v="18"/>
    <x v="13"/>
    <n v="712269.23382039741"/>
  </r>
  <r>
    <n v="263"/>
    <x v="19"/>
    <x v="0"/>
    <n v="76482"/>
  </r>
  <r>
    <n v="264"/>
    <x v="19"/>
    <x v="1"/>
    <n v="91962"/>
  </r>
  <r>
    <n v="265"/>
    <x v="19"/>
    <x v="2"/>
    <n v="95240"/>
  </r>
  <r>
    <n v="266"/>
    <x v="19"/>
    <x v="3"/>
    <n v="104821"/>
  </r>
  <r>
    <n v="267"/>
    <x v="19"/>
    <x v="4"/>
    <n v="129144"/>
  </r>
  <r>
    <n v="268"/>
    <x v="19"/>
    <x v="5"/>
    <n v="160617.31283985541"/>
  </r>
  <r>
    <n v="269"/>
    <x v="19"/>
    <x v="6"/>
    <n v="187624.82301581616"/>
  </r>
  <r>
    <n v="270"/>
    <x v="19"/>
    <x v="7"/>
    <n v="218659.81289683835"/>
  </r>
  <r>
    <n v="271"/>
    <x v="19"/>
    <x v="8"/>
    <n v="247947"/>
  </r>
  <r>
    <n v="272"/>
    <x v="19"/>
    <x v="9"/>
    <n v="207396.14465875772"/>
  </r>
  <r>
    <n v="273"/>
    <x v="19"/>
    <x v="10"/>
    <n v="273800.70523496089"/>
  </r>
  <r>
    <n v="274"/>
    <x v="19"/>
    <x v="11"/>
    <n v="349486.70986017428"/>
  </r>
  <r>
    <n v="275"/>
    <x v="19"/>
    <x v="12"/>
    <n v="388938.08458970953"/>
  </r>
  <r>
    <n v="276"/>
    <x v="20"/>
    <x v="0"/>
    <n v="105152.389"/>
  </r>
  <r>
    <n v="277"/>
    <x v="20"/>
    <x v="1"/>
    <n v="113536.60119328614"/>
  </r>
  <r>
    <n v="278"/>
    <x v="20"/>
    <x v="2"/>
    <n v="108460.41932994805"/>
  </r>
  <r>
    <n v="279"/>
    <x v="20"/>
    <x v="3"/>
    <n v="110940.3986"/>
  </r>
  <r>
    <n v="280"/>
    <x v="20"/>
    <x v="4"/>
    <n v="127678.54362861204"/>
  </r>
  <r>
    <n v="281"/>
    <x v="20"/>
    <x v="5"/>
    <n v="126118.73814238566"/>
  </r>
  <r>
    <n v="282"/>
    <x v="20"/>
    <x v="6"/>
    <n v="161058.17785892411"/>
  </r>
  <r>
    <n v="283"/>
    <x v="20"/>
    <x v="7"/>
    <n v="182782.71843475432"/>
  </r>
  <r>
    <n v="284"/>
    <x v="20"/>
    <x v="8"/>
    <n v="201379.34984520124"/>
  </r>
  <r>
    <n v="285"/>
    <x v="20"/>
    <x v="9"/>
    <n v="186140.45015659614"/>
  </r>
  <r>
    <n v="286"/>
    <x v="20"/>
    <x v="10"/>
    <n v="140528.22496988592"/>
  </r>
  <r>
    <n v="287"/>
    <x v="20"/>
    <x v="11"/>
    <n v="166626.35567305854"/>
  </r>
  <r>
    <n v="288"/>
    <x v="20"/>
    <x v="12"/>
    <n v="178069.58996647212"/>
  </r>
  <r>
    <n v="289"/>
    <x v="21"/>
    <x v="0"/>
    <n v="2035854.3530947159"/>
  </r>
  <r>
    <n v="290"/>
    <x v="21"/>
    <x v="1"/>
    <n v="2274230.7434891961"/>
  </r>
  <r>
    <n v="291"/>
    <x v="21"/>
    <x v="2"/>
    <n v="2454254.0246662232"/>
  </r>
  <r>
    <n v="292"/>
    <x v="21"/>
    <x v="3"/>
    <n v="2652359.7073219866"/>
  </r>
  <r>
    <n v="293"/>
    <x v="21"/>
    <x v="4"/>
    <n v="3052006.1232740334"/>
  </r>
  <r>
    <n v="294"/>
    <x v="21"/>
    <x v="5"/>
    <n v="3165618.2626283052"/>
  </r>
  <r>
    <n v="295"/>
    <x v="21"/>
    <x v="6"/>
    <n v="3475493.9402469173"/>
  </r>
  <r>
    <n v="296"/>
    <x v="21"/>
    <x v="7"/>
    <n v="3757458.0401663748"/>
  </r>
  <r>
    <n v="297"/>
    <x v="21"/>
    <x v="8"/>
    <n v="4006859.4935816173"/>
  </r>
  <r>
    <n v="298"/>
    <x v="21"/>
    <x v="9"/>
    <n v="3048101.1267663222"/>
  </r>
  <r>
    <n v="299"/>
    <x v="21"/>
    <x v="10"/>
    <n v="3333851.5014007757"/>
  </r>
  <r>
    <n v="300"/>
    <x v="21"/>
    <x v="11"/>
    <n v="3772538.6192054767"/>
  </r>
  <r>
    <n v="301"/>
    <x v="21"/>
    <x v="12"/>
    <n v="4055158.3780972301"/>
  </r>
  <r>
    <n v="302"/>
    <x v="21"/>
    <x v="13"/>
    <n v="4622644.4057608088"/>
  </r>
  <r>
    <n v="303"/>
    <x v="22"/>
    <x v="0"/>
    <n v="33936.691822353947"/>
  </r>
  <r>
    <n v="304"/>
    <x v="22"/>
    <x v="1"/>
    <n v="38829.343089736547"/>
  </r>
  <r>
    <n v="305"/>
    <x v="22"/>
    <x v="2"/>
    <n v="44996.26656767173"/>
  </r>
  <r>
    <n v="306"/>
    <x v="22"/>
    <x v="3"/>
    <n v="46386.012113812933"/>
  </r>
  <r>
    <n v="307"/>
    <x v="22"/>
    <x v="4"/>
    <n v="48380.359482881904"/>
  </r>
  <r>
    <n v="308"/>
    <x v="22"/>
    <x v="5"/>
    <n v="52295.762754867144"/>
  </r>
  <r>
    <n v="309"/>
    <x v="22"/>
    <x v="6"/>
    <n v="63072.556103445997"/>
  </r>
  <r>
    <n v="310"/>
    <x v="22"/>
    <x v="7"/>
    <n v="81279.805159961659"/>
  </r>
  <r>
    <n v="311"/>
    <x v="22"/>
    <x v="8"/>
    <n v="77062.15508805131"/>
  </r>
  <r>
    <n v="312"/>
    <x v="22"/>
    <x v="9"/>
    <n v="61438.843964697211"/>
  </r>
  <r>
    <n v="313"/>
    <x v="22"/>
    <x v="10"/>
    <n v="69459.283659267647"/>
  </r>
  <r>
    <n v="314"/>
    <x v="22"/>
    <x v="11"/>
    <n v="79929.300410272321"/>
  </r>
  <r>
    <n v="315"/>
    <x v="22"/>
    <x v="12"/>
    <n v="89929.312052580251"/>
  </r>
  <r>
    <n v="316"/>
    <x v="23"/>
    <x v="0"/>
    <n v="147477"/>
  </r>
  <r>
    <n v="317"/>
    <x v="23"/>
    <x v="1"/>
    <n v="174572"/>
  </r>
  <r>
    <n v="318"/>
    <x v="23"/>
    <x v="2"/>
    <n v="165482"/>
  </r>
  <r>
    <n v="319"/>
    <x v="23"/>
    <x v="3"/>
    <n v="174562"/>
  </r>
  <r>
    <n v="320"/>
    <x v="23"/>
    <x v="4"/>
    <n v="155361.69009282062"/>
  </r>
  <r>
    <n v="321"/>
    <x v="23"/>
    <x v="5"/>
    <n v="157358.09668612314"/>
  </r>
  <r>
    <n v="322"/>
    <x v="23"/>
    <x v="6"/>
    <n v="160976.934338953"/>
  </r>
  <r>
    <n v="323"/>
    <x v="23"/>
    <x v="7"/>
    <n v="170228.06084742979"/>
  </r>
  <r>
    <n v="324"/>
    <x v="23"/>
    <x v="8"/>
    <n v="166241.07095387537"/>
  </r>
  <r>
    <n v="325"/>
    <x v="23"/>
    <x v="9"/>
    <n v="116410.66482145984"/>
  </r>
  <r>
    <n v="326"/>
    <x v="23"/>
    <x v="10"/>
    <n v="133252.27340010216"/>
  </r>
  <r>
    <n v="327"/>
    <x v="23"/>
    <x v="11"/>
    <n v="149812.36901502957"/>
  </r>
  <r>
    <n v="328"/>
    <x v="23"/>
    <x v="12"/>
    <n v="147414.87711035504"/>
  </r>
  <r>
    <n v="329"/>
    <x v="23"/>
    <x v="13"/>
    <n v="145485.59498273258"/>
  </r>
  <r>
    <n v="330"/>
    <x v="24"/>
    <x v="0"/>
    <n v="2532467"/>
  </r>
  <r>
    <n v="331"/>
    <x v="24"/>
    <x v="1"/>
    <n v="2758214"/>
  </r>
  <r>
    <n v="332"/>
    <x v="24"/>
    <x v="2"/>
    <n v="3004908"/>
  </r>
  <r>
    <n v="333"/>
    <x v="24"/>
    <x v="3"/>
    <n v="3237423"/>
  </r>
  <r>
    <n v="334"/>
    <x v="24"/>
    <x v="4"/>
    <n v="3458884"/>
  </r>
  <r>
    <n v="335"/>
    <x v="24"/>
    <x v="5"/>
    <n v="3674850"/>
  </r>
  <r>
    <n v="336"/>
    <x v="24"/>
    <x v="6"/>
    <n v="3934840"/>
  </r>
  <r>
    <n v="337"/>
    <x v="24"/>
    <x v="7"/>
    <n v="4204671"/>
  </r>
  <r>
    <n v="338"/>
    <x v="24"/>
    <x v="8"/>
    <n v="4466272"/>
  </r>
  <r>
    <n v="339"/>
    <x v="24"/>
    <x v="9"/>
    <n v="3882005"/>
  </r>
  <r>
    <n v="340"/>
    <x v="24"/>
    <x v="10"/>
    <n v="4222983"/>
  </r>
  <r>
    <n v="341"/>
    <x v="24"/>
    <x v="11"/>
    <n v="4550015.681627715"/>
  </r>
  <r>
    <n v="342"/>
    <x v="24"/>
    <x v="12"/>
    <n v="4754516.63117762"/>
  </r>
  <r>
    <n v="343"/>
    <x v="24"/>
    <x v="13"/>
    <n v="5112608.3939447664"/>
  </r>
  <r>
    <n v="344"/>
    <x v="25"/>
    <x v="0"/>
    <n v="4374625.4402999999"/>
  </r>
  <r>
    <n v="345"/>
    <x v="25"/>
    <x v="1"/>
    <n v="4746078.6660000002"/>
  </r>
  <r>
    <n v="346"/>
    <x v="25"/>
    <x v="2"/>
    <n v="5082507.6759000001"/>
  </r>
  <r>
    <n v="347"/>
    <x v="25"/>
    <x v="3"/>
    <n v="5432676"/>
  </r>
  <r>
    <n v="348"/>
    <x v="25"/>
    <x v="4"/>
    <n v="5697093.6701999996"/>
  </r>
  <r>
    <n v="349"/>
    <x v="25"/>
    <x v="5"/>
    <n v="5970325.9463999998"/>
  </r>
  <r>
    <n v="350"/>
    <x v="25"/>
    <x v="6"/>
    <n v="6703637.4944879999"/>
  </r>
  <r>
    <n v="351"/>
    <x v="25"/>
    <x v="7"/>
    <n v="7590102.6185999997"/>
  </r>
  <r>
    <n v="352"/>
    <x v="25"/>
    <x v="8"/>
    <n v="7875857.54"/>
  </r>
  <r>
    <n v="353"/>
    <x v="25"/>
    <x v="9"/>
    <n v="6043360.7148453919"/>
  </r>
  <r>
    <n v="354"/>
    <x v="25"/>
    <x v="10"/>
    <n v="7371043.3618036406"/>
  </r>
  <r>
    <n v="355"/>
    <x v="25"/>
    <x v="11"/>
    <n v="8991630.4555946924"/>
  </r>
  <r>
    <n v="356"/>
    <x v="25"/>
    <x v="12"/>
    <n v="9626058.6894186288"/>
  </r>
  <r>
    <n v="357"/>
    <x v="25"/>
    <x v="13"/>
    <n v="10283159.736669194"/>
  </r>
  <r>
    <n v="358"/>
    <x v="26"/>
    <x v="0"/>
    <n v="31445.820800000001"/>
  </r>
  <r>
    <n v="359"/>
    <x v="26"/>
    <x v="1"/>
    <n v="50934.612523793861"/>
  </r>
  <r>
    <n v="360"/>
    <x v="26"/>
    <x v="2"/>
    <n v="60934.326689633766"/>
  </r>
  <r>
    <n v="361"/>
    <x v="26"/>
    <x v="3"/>
    <n v="60092.797083652891"/>
  </r>
  <r>
    <n v="362"/>
    <x v="26"/>
    <x v="4"/>
    <n v="61863.441029078502"/>
  </r>
  <r>
    <n v="363"/>
    <x v="26"/>
    <x v="5"/>
    <n v="66329.539523131185"/>
  </r>
  <r>
    <n v="364"/>
    <x v="26"/>
    <x v="6"/>
    <n v="76206.899882089027"/>
  </r>
  <r>
    <n v="365"/>
    <x v="26"/>
    <x v="7"/>
    <n v="87843.719503532426"/>
  </r>
  <r>
    <n v="366"/>
    <x v="26"/>
    <x v="8"/>
    <n v="98890.778189534307"/>
  </r>
  <r>
    <n v="367"/>
    <x v="26"/>
    <x v="9"/>
    <n v="106031.06574720895"/>
  </r>
  <r>
    <n v="368"/>
    <x v="26"/>
    <x v="10"/>
    <n v="118421.07495578595"/>
  </r>
  <r>
    <n v="369"/>
    <x v="26"/>
    <x v="11"/>
    <n v="152543.39352434268"/>
  </r>
  <r>
    <n v="370"/>
    <x v="26"/>
    <x v="12"/>
    <n v="175597.54544428119"/>
  </r>
  <r>
    <n v="371"/>
    <x v="27"/>
    <x v="0"/>
    <n v="7930218.8795999996"/>
  </r>
  <r>
    <n v="372"/>
    <x v="27"/>
    <x v="1"/>
    <n v="8910693.7863545809"/>
  </r>
  <r>
    <n v="373"/>
    <x v="27"/>
    <x v="2"/>
    <n v="9828600.7063888069"/>
  </r>
  <r>
    <n v="374"/>
    <x v="27"/>
    <x v="3"/>
    <n v="10228120.585056704"/>
  </r>
  <r>
    <n v="375"/>
    <x v="27"/>
    <x v="4"/>
    <n v="10133545.374893416"/>
  </r>
  <r>
    <n v="376"/>
    <x v="27"/>
    <x v="5"/>
    <n v="10811169.043281471"/>
  </r>
  <r>
    <n v="377"/>
    <x v="27"/>
    <x v="6"/>
    <n v="11801743.975952974"/>
  </r>
  <r>
    <n v="378"/>
    <x v="27"/>
    <x v="7"/>
    <n v="12964536.565489748"/>
  </r>
  <r>
    <n v="379"/>
    <x v="27"/>
    <x v="8"/>
    <n v="13519999.357457431"/>
  </r>
  <r>
    <n v="380"/>
    <x v="27"/>
    <x v="9"/>
    <n v="12780175.642704688"/>
  </r>
  <r>
    <n v="381"/>
    <x v="27"/>
    <x v="10"/>
    <n v="13537069.430396412"/>
  </r>
  <r>
    <n v="382"/>
    <x v="27"/>
    <x v="11"/>
    <n v="14896133.497768957"/>
  </r>
  <r>
    <n v="383"/>
    <x v="27"/>
    <x v="12"/>
    <n v="15904885.909450067"/>
  </r>
  <r>
    <n v="384"/>
    <x v="27"/>
    <x v="13"/>
    <n v="17328662.071378559"/>
  </r>
  <r>
    <n v="385"/>
    <x v="28"/>
    <x v="0"/>
    <n v="3747813"/>
  </r>
  <r>
    <n v="386"/>
    <x v="28"/>
    <x v="1"/>
    <n v="4026649"/>
  </r>
  <r>
    <n v="387"/>
    <x v="28"/>
    <x v="2"/>
    <n v="4357584"/>
  </r>
  <r>
    <n v="388"/>
    <x v="28"/>
    <x v="3"/>
    <n v="5223022"/>
  </r>
  <r>
    <n v="389"/>
    <x v="28"/>
    <x v="4"/>
    <n v="5854315"/>
  </r>
  <r>
    <n v="390"/>
    <x v="28"/>
    <x v="5"/>
    <n v="6483197"/>
  </r>
  <r>
    <n v="391"/>
    <x v="28"/>
    <x v="6"/>
    <n v="7514990"/>
  </r>
  <r>
    <n v="392"/>
    <x v="28"/>
    <x v="7"/>
    <n v="8911381.3386095688"/>
  </r>
  <r>
    <n v="393"/>
    <x v="28"/>
    <x v="8"/>
    <n v="9731135.9564989358"/>
  </r>
  <r>
    <n v="394"/>
    <x v="28"/>
    <x v="9"/>
    <n v="7691857.8107176293"/>
  </r>
  <r>
    <n v="395"/>
    <x v="28"/>
    <x v="10"/>
    <n v="9386008.9924850781"/>
  </r>
  <r>
    <n v="396"/>
    <x v="28"/>
    <x v="11"/>
    <n v="10686572.705636328"/>
  </r>
  <r>
    <n v="397"/>
    <x v="28"/>
    <x v="12"/>
    <n v="11532258.735939445"/>
  </r>
  <r>
    <n v="398"/>
    <x v="28"/>
    <x v="13"/>
    <n v="13445026.257617988"/>
  </r>
  <r>
    <n v="399"/>
    <x v="29"/>
    <x v="0"/>
    <n v="226839"/>
  </r>
  <r>
    <n v="400"/>
    <x v="29"/>
    <x v="1"/>
    <n v="262147"/>
  </r>
  <r>
    <n v="401"/>
    <x v="29"/>
    <x v="2"/>
    <n v="250939"/>
  </r>
  <r>
    <n v="402"/>
    <x v="29"/>
    <x v="3"/>
    <n v="318626"/>
  </r>
  <r>
    <n v="403"/>
    <x v="29"/>
    <x v="4"/>
    <n v="241102"/>
  </r>
  <r>
    <n v="404"/>
    <x v="29"/>
    <x v="5"/>
    <n v="279845"/>
  </r>
  <r>
    <n v="405"/>
    <x v="29"/>
    <x v="6"/>
    <n v="384131"/>
  </r>
  <r>
    <n v="406"/>
    <x v="29"/>
    <x v="7"/>
    <n v="452552"/>
  </r>
  <r>
    <n v="407"/>
    <x v="29"/>
    <x v="8"/>
    <n v="525530"/>
  </r>
  <r>
    <n v="408"/>
    <x v="29"/>
    <x v="9"/>
    <n v="404256"/>
  </r>
  <r>
    <n v="409"/>
    <x v="29"/>
    <x v="10"/>
    <n v="424054"/>
  </r>
  <r>
    <n v="410"/>
    <x v="29"/>
    <x v="11"/>
    <n v="540285"/>
  </r>
  <r>
    <n v="411"/>
    <x v="29"/>
    <x v="12"/>
    <n v="554534"/>
  </r>
  <r>
    <n v="412"/>
    <x v="29"/>
    <x v="13"/>
    <n v="614774.21800036298"/>
  </r>
  <r>
    <n v="413"/>
    <x v="30"/>
    <x v="0"/>
    <n v="1192896"/>
  </r>
  <r>
    <n v="414"/>
    <x v="30"/>
    <x v="1"/>
    <n v="1306187"/>
  </r>
  <r>
    <n v="415"/>
    <x v="30"/>
    <x v="2"/>
    <n v="1418883"/>
  </r>
  <r>
    <n v="416"/>
    <x v="30"/>
    <x v="3"/>
    <n v="1518569"/>
  </r>
  <r>
    <n v="417"/>
    <x v="30"/>
    <x v="4"/>
    <n v="1691788"/>
  </r>
  <r>
    <n v="418"/>
    <x v="30"/>
    <x v="5"/>
    <n v="1955352"/>
  </r>
  <r>
    <n v="419"/>
    <x v="30"/>
    <x v="6"/>
    <n v="2222555"/>
  </r>
  <r>
    <n v="420"/>
    <x v="30"/>
    <x v="7"/>
    <n v="2480838"/>
  </r>
  <r>
    <n v="421"/>
    <x v="30"/>
    <x v="8"/>
    <n v="2646355"/>
  </r>
  <r>
    <n v="422"/>
    <x v="30"/>
    <x v="9"/>
    <n v="1931675"/>
  </r>
  <r>
    <n v="423"/>
    <x v="30"/>
    <x v="10"/>
    <n v="2388250"/>
  </r>
  <r>
    <n v="424"/>
    <x v="30"/>
    <x v="11"/>
    <n v="2885557"/>
  </r>
  <r>
    <n v="425"/>
    <x v="30"/>
    <x v="12"/>
    <n v="3172405"/>
  </r>
  <r>
    <n v="426"/>
    <x v="30"/>
    <x v="13"/>
    <n v="3322050"/>
  </r>
  <r>
    <n v="427"/>
    <x v="31"/>
    <x v="0"/>
    <n v="6946588.3179423101"/>
  </r>
  <r>
    <n v="428"/>
    <x v="31"/>
    <x v="1"/>
    <n v="6976021.1448365413"/>
  </r>
  <r>
    <n v="429"/>
    <x v="31"/>
    <x v="2"/>
    <n v="7679666.3531770352"/>
  </r>
  <r>
    <n v="430"/>
    <x v="31"/>
    <x v="3"/>
    <n v="8162572.3418055885"/>
  </r>
  <r>
    <n v="431"/>
    <x v="31"/>
    <x v="4"/>
    <n v="8944798.5404688269"/>
  </r>
  <r>
    <n v="432"/>
    <x v="31"/>
    <x v="5"/>
    <n v="9537001.3337526731"/>
  </r>
  <r>
    <n v="433"/>
    <x v="31"/>
    <x v="6"/>
    <n v="10242555.178651022"/>
  </r>
  <r>
    <n v="434"/>
    <x v="31"/>
    <x v="7"/>
    <n v="10929187.181375124"/>
  </r>
  <r>
    <n v="435"/>
    <x v="31"/>
    <x v="8"/>
    <n v="12036089"/>
  </r>
  <r>
    <n v="436"/>
    <x v="31"/>
    <x v="9"/>
    <n v="9943130"/>
  </r>
  <r>
    <n v="437"/>
    <x v="31"/>
    <x v="10"/>
    <n v="10843412.358473234"/>
  </r>
  <r>
    <n v="438"/>
    <x v="31"/>
    <x v="11"/>
    <n v="12339047"/>
  </r>
  <r>
    <n v="439"/>
    <x v="31"/>
    <x v="12"/>
    <n v="13357207"/>
  </r>
  <r>
    <n v="440"/>
    <x v="31"/>
    <x v="13"/>
    <n v="14741853"/>
  </r>
  <r>
    <n v="441"/>
    <x v="32"/>
    <x v="0"/>
    <n v="6795832"/>
  </r>
  <r>
    <n v="442"/>
    <x v="32"/>
    <x v="1"/>
    <n v="7252392"/>
  </r>
  <r>
    <n v="443"/>
    <x v="32"/>
    <x v="2"/>
    <n v="7902411"/>
  </r>
  <r>
    <n v="444"/>
    <x v="32"/>
    <x v="3"/>
    <n v="8250079"/>
  </r>
  <r>
    <n v="445"/>
    <x v="32"/>
    <x v="4"/>
    <n v="8788238"/>
  </r>
  <r>
    <n v="446"/>
    <x v="32"/>
    <x v="5"/>
    <n v="9149590"/>
  </r>
  <r>
    <n v="447"/>
    <x v="32"/>
    <x v="6"/>
    <n v="10165132"/>
  </r>
  <r>
    <n v="448"/>
    <x v="32"/>
    <x v="7"/>
    <n v="11242450"/>
  </r>
  <r>
    <n v="449"/>
    <x v="32"/>
    <x v="8"/>
    <n v="11723125"/>
  </r>
  <r>
    <n v="450"/>
    <x v="32"/>
    <x v="9"/>
    <n v="8663137"/>
  </r>
  <r>
    <n v="451"/>
    <x v="32"/>
    <x v="10"/>
    <n v="10265349"/>
  </r>
  <r>
    <n v="452"/>
    <x v="32"/>
    <x v="11"/>
    <n v="11845330"/>
  </r>
  <r>
    <n v="453"/>
    <x v="32"/>
    <x v="12"/>
    <n v="12796876.482000001"/>
  </r>
  <r>
    <n v="454"/>
    <x v="32"/>
    <x v="13"/>
    <n v="13661276.39086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x v="0"/>
    <x v="0"/>
    <n v="0"/>
  </r>
  <r>
    <x v="1"/>
    <x v="0"/>
    <n v="0"/>
  </r>
  <r>
    <x v="2"/>
    <x v="0"/>
    <n v="0"/>
  </r>
  <r>
    <x v="3"/>
    <x v="0"/>
    <n v="0.09"/>
  </r>
  <r>
    <x v="4"/>
    <x v="0"/>
    <n v="0.09"/>
  </r>
  <r>
    <x v="5"/>
    <x v="0"/>
    <n v="0.09"/>
  </r>
  <r>
    <x v="6"/>
    <x v="0"/>
    <n v="0.1"/>
  </r>
  <r>
    <x v="7"/>
    <x v="0"/>
    <n v="0.28999999999999998"/>
  </r>
  <r>
    <x v="8"/>
    <x v="0"/>
    <n v="1.99"/>
  </r>
  <r>
    <x v="9"/>
    <x v="1"/>
    <n v="4.46"/>
  </r>
  <r>
    <x v="10"/>
    <x v="1"/>
    <n v="4.38"/>
  </r>
  <r>
    <x v="11"/>
    <x v="1"/>
    <n v="6.37"/>
  </r>
  <r>
    <x v="0"/>
    <x v="1"/>
    <n v="7.2"/>
  </r>
  <r>
    <x v="1"/>
    <x v="1"/>
    <n v="9.36"/>
  </r>
  <r>
    <x v="2"/>
    <x v="1"/>
    <n v="10.35"/>
  </r>
  <r>
    <x v="3"/>
    <x v="1"/>
    <n v="11.63"/>
  </r>
  <r>
    <x v="4"/>
    <x v="1"/>
    <n v="16.8"/>
  </r>
  <r>
    <x v="5"/>
    <x v="1"/>
    <n v="30.98"/>
  </r>
  <r>
    <x v="6"/>
    <x v="1"/>
    <n v="76.959999999999994"/>
  </r>
  <r>
    <x v="7"/>
    <x v="1"/>
    <n v="105.02"/>
  </r>
  <r>
    <x v="8"/>
    <x v="1"/>
    <n v="145.63999999999999"/>
  </r>
  <r>
    <x v="9"/>
    <x v="2"/>
    <n v="151.83000000000001"/>
  </r>
  <r>
    <x v="10"/>
    <x v="2"/>
    <n v="171.4"/>
  </r>
  <r>
    <x v="11"/>
    <x v="2"/>
    <n v="178.05"/>
  </r>
  <r>
    <x v="0"/>
    <x v="2"/>
    <n v="190.08"/>
  </r>
  <r>
    <x v="1"/>
    <x v="2"/>
    <n v="189.48"/>
  </r>
  <r>
    <x v="2"/>
    <x v="2"/>
    <n v="246.37"/>
  </r>
  <r>
    <x v="3"/>
    <x v="2"/>
    <n v="273.75"/>
  </r>
  <r>
    <x v="4"/>
    <x v="2"/>
    <n v="312.02"/>
  </r>
  <r>
    <x v="5"/>
    <x v="2"/>
    <n v="405.87"/>
  </r>
  <r>
    <x v="6"/>
    <x v="2"/>
    <n v="482.36"/>
  </r>
  <r>
    <x v="7"/>
    <x v="2"/>
    <n v="524.94000000000005"/>
  </r>
  <r>
    <x v="8"/>
    <x v="2"/>
    <n v="620.16999999999996"/>
  </r>
  <r>
    <x v="9"/>
    <x v="3"/>
    <n v="672.75"/>
  </r>
  <r>
    <x v="10"/>
    <x v="3"/>
    <n v="674.19"/>
  </r>
  <r>
    <x v="11"/>
    <x v="3"/>
    <n v="799.54"/>
  </r>
  <r>
    <x v="0"/>
    <x v="3"/>
    <n v="781.79"/>
  </r>
  <r>
    <x v="1"/>
    <x v="3"/>
    <n v="733.54"/>
  </r>
  <r>
    <x v="2"/>
    <x v="3"/>
    <n v="754.54"/>
  </r>
  <r>
    <x v="3"/>
    <x v="3"/>
    <n v="822.29"/>
  </r>
  <r>
    <x v="4"/>
    <x v="3"/>
    <n v="918.35"/>
  </r>
  <r>
    <x v="5"/>
    <x v="3"/>
    <n v="955.02"/>
  </r>
  <r>
    <x v="6"/>
    <x v="3"/>
    <n v="1148.3599999999999"/>
  </r>
  <r>
    <x v="7"/>
    <x v="3"/>
    <n v="1218.77"/>
  </r>
  <r>
    <x v="8"/>
    <x v="3"/>
    <n v="1308.4000000000001"/>
  </r>
  <r>
    <x v="9"/>
    <x v="4"/>
    <n v="1305.02"/>
  </r>
  <r>
    <x v="10"/>
    <x v="4"/>
    <n v="1325.69"/>
  </r>
  <r>
    <x v="11"/>
    <x v="4"/>
    <n v="1246.8399999999999"/>
  </r>
  <r>
    <x v="0"/>
    <x v="4"/>
    <n v="999.57"/>
  </r>
  <r>
    <x v="1"/>
    <x v="4"/>
    <n v="1234.5"/>
  </r>
  <r>
    <x v="2"/>
    <x v="4"/>
    <n v="1336.93"/>
  </r>
  <r>
    <x v="3"/>
    <x v="4"/>
    <n v="1497.36"/>
  </r>
  <r>
    <x v="4"/>
    <x v="4"/>
    <n v="1618.83"/>
  </r>
  <r>
    <x v="5"/>
    <x v="4"/>
    <n v="1800.14"/>
  </r>
  <r>
    <x v="6"/>
    <x v="4"/>
    <n v="2071.62"/>
  </r>
  <r>
    <x v="7"/>
    <x v="4"/>
    <n v="2210.23"/>
  </r>
  <r>
    <x v="8"/>
    <x v="4"/>
    <n v="2234.16"/>
  </r>
  <r>
    <x v="9"/>
    <x v="5"/>
    <n v="2302.73"/>
  </r>
  <r>
    <x v="10"/>
    <x v="5"/>
    <n v="2292.9"/>
  </r>
  <r>
    <x v="11"/>
    <x v="5"/>
    <n v="2731.68"/>
  </r>
  <r>
    <x v="0"/>
    <x v="5"/>
    <n v="2641.06"/>
  </r>
  <r>
    <x v="1"/>
    <x v="5"/>
    <n v="2539.5700000000002"/>
  </r>
  <r>
    <x v="2"/>
    <x v="5"/>
    <n v="2807.51"/>
  </r>
  <r>
    <x v="3"/>
    <x v="5"/>
    <n v="3247.82"/>
  </r>
  <r>
    <x v="4"/>
    <x v="5"/>
    <n v="3555.55"/>
  </r>
  <r>
    <x v="5"/>
    <x v="5"/>
    <n v="3654.3"/>
  </r>
  <r>
    <x v="6"/>
    <x v="5"/>
    <n v="4218.6499999999996"/>
  </r>
  <r>
    <x v="7"/>
    <x v="5"/>
    <n v="4186.4799999999996"/>
  </r>
  <r>
    <x v="8"/>
    <x v="5"/>
    <n v="4566.3"/>
  </r>
  <r>
    <x v="9"/>
    <x v="6"/>
    <n v="4617.1499999999996"/>
  </r>
  <r>
    <x v="10"/>
    <x v="6"/>
    <n v="4527.49"/>
  </r>
  <r>
    <x v="11"/>
    <x v="6"/>
    <n v="5405.65"/>
  </r>
  <r>
    <x v="0"/>
    <x v="6"/>
    <n v="5583.05"/>
  </r>
  <r>
    <x v="1"/>
    <x v="6"/>
    <n v="5955.2"/>
  </r>
  <r>
    <x v="2"/>
    <x v="6"/>
    <n v="5862.75"/>
  </r>
  <r>
    <x v="3"/>
    <x v="6"/>
    <n v="6288.4"/>
  </r>
  <r>
    <x v="4"/>
    <x v="6"/>
    <n v="6579.63"/>
  </r>
  <r>
    <x v="5"/>
    <x v="6"/>
    <n v="6780.8"/>
  </r>
  <r>
    <x v="6"/>
    <x v="6"/>
    <n v="7305.42"/>
  </r>
  <r>
    <x v="7"/>
    <x v="6"/>
    <n v="7309.45"/>
  </r>
  <r>
    <x v="8"/>
    <x v="6"/>
    <n v="7829.49"/>
  </r>
  <r>
    <x v="9"/>
    <x v="7"/>
    <n v="8036.89"/>
  </r>
  <r>
    <x v="10"/>
    <x v="7"/>
    <n v="7534.76"/>
  </r>
  <r>
    <x v="11"/>
    <x v="7"/>
    <n v="8685.2999999999993"/>
  </r>
  <r>
    <x v="0"/>
    <x v="7"/>
    <n v="8863.26"/>
  </r>
  <r>
    <x v="1"/>
    <x v="7"/>
    <n v="9415.19"/>
  </r>
  <r>
    <x v="2"/>
    <x v="7"/>
    <n v="9335.06"/>
  </r>
  <r>
    <x v="3"/>
    <x v="7"/>
    <n v="9964.61"/>
  </r>
  <r>
    <x v="4"/>
    <x v="7"/>
    <n v="10586.02"/>
  </r>
  <r>
    <x v="5"/>
    <x v="7"/>
    <n v="10555.69"/>
  </r>
  <r>
    <x v="6"/>
    <x v="7"/>
    <n v="11408.79"/>
  </r>
  <r>
    <x v="7"/>
    <x v="7"/>
    <n v="11235.29"/>
  </r>
  <r>
    <x v="8"/>
    <x v="7"/>
    <n v="12020.23"/>
  </r>
  <r>
    <x v="9"/>
    <x v="8"/>
    <n v="12203.02"/>
  </r>
  <r>
    <x v="10"/>
    <x v="8"/>
    <n v="12102.67"/>
  </r>
  <r>
    <x v="11"/>
    <x v="8"/>
    <n v="13440"/>
  </r>
  <r>
    <x v="0"/>
    <x v="8"/>
    <n v="13303.99"/>
  </r>
  <r>
    <x v="1"/>
    <x v="8"/>
    <n v="14035.84"/>
  </r>
  <r>
    <x v="2"/>
    <x v="8"/>
    <n v="13885.14"/>
  </r>
  <r>
    <x v="3"/>
    <x v="8"/>
    <n v="14435.55"/>
  </r>
  <r>
    <x v="4"/>
    <x v="8"/>
    <n v="14963.05"/>
  </r>
  <r>
    <x v="5"/>
    <x v="8"/>
    <n v="15041.75"/>
  </r>
  <r>
    <x v="6"/>
    <x v="8"/>
    <n v="16584.97"/>
  </r>
  <r>
    <x v="7"/>
    <x v="8"/>
    <n v="15482.02"/>
  </r>
  <r>
    <x v="8"/>
    <x v="8"/>
    <n v="16730.009999999998"/>
  </r>
  <r>
    <x v="9"/>
    <x v="9"/>
    <n v="16996"/>
  </r>
  <r>
    <x v="10"/>
    <x v="9"/>
    <n v="16106.19"/>
  </r>
  <r>
    <x v="11"/>
    <x v="9"/>
    <n v="18301.509999999998"/>
  </r>
  <r>
    <x v="0"/>
    <x v="9"/>
    <n v="17893.419999999998"/>
  </r>
  <r>
    <x v="1"/>
    <x v="9"/>
    <n v="18677.46"/>
  </r>
  <r>
    <x v="2"/>
    <x v="9"/>
    <n v="18395.009999999998"/>
  </r>
  <r>
    <x v="3"/>
    <x v="9"/>
    <n v="19467.95"/>
  </r>
  <r>
    <x v="4"/>
    <x v="9"/>
    <n v="20008.310000000001"/>
  </r>
  <r>
    <x v="5"/>
    <x v="9"/>
    <n v="19633.43"/>
  </r>
  <r>
    <x v="6"/>
    <x v="9"/>
    <n v="20700.91999999999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x v="0"/>
    <x v="0"/>
    <n v="0"/>
    <n v="0"/>
  </r>
  <r>
    <x v="1"/>
    <x v="0"/>
    <n v="0"/>
    <n v="0"/>
  </r>
  <r>
    <x v="2"/>
    <x v="0"/>
    <n v="0"/>
    <n v="0"/>
  </r>
  <r>
    <x v="3"/>
    <x v="0"/>
    <n v="0.09"/>
    <n v="0.38"/>
  </r>
  <r>
    <x v="4"/>
    <x v="0"/>
    <n v="0.09"/>
    <n v="3.09"/>
  </r>
  <r>
    <x v="5"/>
    <x v="0"/>
    <n v="0.09"/>
    <n v="32.64"/>
  </r>
  <r>
    <x v="6"/>
    <x v="0"/>
    <n v="0.1"/>
    <n v="48.57"/>
  </r>
  <r>
    <x v="7"/>
    <x v="0"/>
    <n v="0.28999999999999998"/>
    <n v="100.46"/>
  </r>
  <r>
    <x v="8"/>
    <x v="0"/>
    <n v="1.99"/>
    <n v="707.93"/>
  </r>
  <r>
    <x v="9"/>
    <x v="1"/>
    <n v="4.46"/>
    <n v="1696.22"/>
  </r>
  <r>
    <x v="10"/>
    <x v="1"/>
    <n v="4.38"/>
    <n v="1937.71"/>
  </r>
  <r>
    <x v="11"/>
    <x v="1"/>
    <n v="6.37"/>
    <n v="2425.14"/>
  </r>
  <r>
    <x v="0"/>
    <x v="1"/>
    <n v="7.2"/>
    <n v="2271.2399999999998"/>
  </r>
  <r>
    <x v="1"/>
    <x v="1"/>
    <n v="9.36"/>
    <n v="2797.07"/>
  </r>
  <r>
    <x v="2"/>
    <x v="1"/>
    <n v="10.35"/>
    <n v="3098.36"/>
  </r>
  <r>
    <x v="3"/>
    <x v="1"/>
    <n v="11.63"/>
    <n v="3411.35"/>
  </r>
  <r>
    <x v="4"/>
    <x v="1"/>
    <n v="16.8"/>
    <n v="4156.62"/>
  </r>
  <r>
    <x v="5"/>
    <x v="1"/>
    <n v="30.98"/>
    <n v="5325.81"/>
  </r>
  <r>
    <x v="6"/>
    <x v="1"/>
    <n v="76.959999999999994"/>
    <n v="7057.78"/>
  </r>
  <r>
    <x v="7"/>
    <x v="1"/>
    <n v="105.02"/>
    <n v="9669.33"/>
  </r>
  <r>
    <x v="8"/>
    <x v="1"/>
    <n v="145.63999999999999"/>
    <n v="13174.24"/>
  </r>
  <r>
    <x v="9"/>
    <x v="2"/>
    <n v="151.83000000000001"/>
    <n v="15571.2"/>
  </r>
  <r>
    <x v="10"/>
    <x v="2"/>
    <n v="171.4"/>
    <n v="19126.2"/>
  </r>
  <r>
    <x v="11"/>
    <x v="2"/>
    <n v="178.05"/>
    <n v="24172.6"/>
  </r>
  <r>
    <x v="0"/>
    <x v="2"/>
    <n v="190.08"/>
    <n v="27021.85"/>
  </r>
  <r>
    <x v="1"/>
    <x v="2"/>
    <n v="189.48"/>
    <n v="33288.51"/>
  </r>
  <r>
    <x v="2"/>
    <x v="2"/>
    <n v="246.37"/>
    <n v="40834.03"/>
  </r>
  <r>
    <x v="3"/>
    <x v="2"/>
    <n v="273.75"/>
    <n v="51843.14"/>
  </r>
  <r>
    <x v="4"/>
    <x v="2"/>
    <n v="312.02"/>
    <n v="54212.26"/>
  </r>
  <r>
    <x v="5"/>
    <x v="2"/>
    <n v="405.87"/>
    <n v="59835.360000000001"/>
  </r>
  <r>
    <x v="6"/>
    <x v="2"/>
    <n v="482.36"/>
    <n v="74978.27"/>
  </r>
  <r>
    <x v="7"/>
    <x v="2"/>
    <n v="524.94000000000005"/>
    <n v="82232.210000000006"/>
  </r>
  <r>
    <x v="8"/>
    <x v="2"/>
    <n v="620.16999999999996"/>
    <n v="102594.82"/>
  </r>
  <r>
    <x v="9"/>
    <x v="3"/>
    <n v="672.75"/>
    <n v="109932.43"/>
  </r>
  <r>
    <x v="10"/>
    <x v="3"/>
    <n v="674.19"/>
    <n v="106737.12"/>
  </r>
  <r>
    <x v="11"/>
    <x v="3"/>
    <n v="799.54"/>
    <n v="133460.72"/>
  </r>
  <r>
    <x v="0"/>
    <x v="3"/>
    <n v="781.79"/>
    <n v="142034.39000000001"/>
  </r>
  <r>
    <x v="1"/>
    <x v="3"/>
    <n v="733.54"/>
    <n v="152449.29"/>
  </r>
  <r>
    <x v="2"/>
    <x v="3"/>
    <n v="754.54"/>
    <n v="146566.35"/>
  </r>
  <r>
    <x v="3"/>
    <x v="3"/>
    <n v="822.29"/>
    <n v="146386.64000000001"/>
  </r>
  <r>
    <x v="4"/>
    <x v="3"/>
    <n v="918.35"/>
    <n v="154504.89000000001"/>
  </r>
  <r>
    <x v="5"/>
    <x v="3"/>
    <n v="955.02"/>
    <n v="161456.56"/>
  </r>
  <r>
    <x v="6"/>
    <x v="3"/>
    <n v="1148.3599999999999"/>
    <n v="191359.94"/>
  </r>
  <r>
    <x v="7"/>
    <x v="3"/>
    <n v="1218.77"/>
    <n v="189229.09"/>
  </r>
  <r>
    <x v="8"/>
    <x v="3"/>
    <n v="1308.4000000000001"/>
    <n v="202520.76"/>
  </r>
  <r>
    <x v="9"/>
    <x v="4"/>
    <n v="1305.02"/>
    <n v="216242.97"/>
  </r>
  <r>
    <x v="10"/>
    <x v="4"/>
    <n v="1325.69"/>
    <n v="222516.95"/>
  </r>
  <r>
    <x v="11"/>
    <x v="4"/>
    <n v="1246.8399999999999"/>
    <n v="206462.31"/>
  </r>
  <r>
    <x v="0"/>
    <x v="4"/>
    <n v="999.57"/>
    <n v="151140.66"/>
  </r>
  <r>
    <x v="1"/>
    <x v="4"/>
    <n v="1234.5"/>
    <n v="218391.6"/>
  </r>
  <r>
    <x v="2"/>
    <x v="4"/>
    <n v="1336.93"/>
    <n v="261835"/>
  </r>
  <r>
    <x v="3"/>
    <x v="4"/>
    <n v="1497.36"/>
    <n v="290537.86"/>
  </r>
  <r>
    <x v="4"/>
    <x v="4"/>
    <n v="1618.83"/>
    <n v="298307.61"/>
  </r>
  <r>
    <x v="5"/>
    <x v="4"/>
    <n v="1800.14"/>
    <n v="329027.65999999997"/>
  </r>
  <r>
    <x v="6"/>
    <x v="4"/>
    <n v="2071.62"/>
    <n v="386106.74"/>
  </r>
  <r>
    <x v="7"/>
    <x v="4"/>
    <n v="2210.23"/>
    <n v="390999.15"/>
  </r>
  <r>
    <x v="8"/>
    <x v="4"/>
    <n v="2234.16"/>
    <n v="416176.21"/>
  </r>
  <r>
    <x v="9"/>
    <x v="5"/>
    <n v="2302.73"/>
    <n v="431181.89"/>
  </r>
  <r>
    <x v="10"/>
    <x v="5"/>
    <n v="2292.9"/>
    <n v="425062.76"/>
  </r>
  <r>
    <x v="11"/>
    <x v="5"/>
    <n v="2731.68"/>
    <n v="504886.44"/>
  </r>
  <r>
    <x v="0"/>
    <x v="5"/>
    <n v="2641.06"/>
    <n v="493663.68"/>
  </r>
  <r>
    <x v="1"/>
    <x v="5"/>
    <n v="2539.5700000000002"/>
    <n v="490638.65"/>
  </r>
  <r>
    <x v="2"/>
    <x v="5"/>
    <n v="2807.51"/>
    <n v="547373.17000000004"/>
  </r>
  <r>
    <x v="3"/>
    <x v="5"/>
    <n v="3247.82"/>
    <n v="606281.14"/>
  </r>
  <r>
    <x v="4"/>
    <x v="5"/>
    <n v="3555.55"/>
    <n v="639116.94999999995"/>
  </r>
  <r>
    <x v="5"/>
    <x v="5"/>
    <n v="3654.3"/>
    <n v="654351.81000000006"/>
  </r>
  <r>
    <x v="6"/>
    <x v="5"/>
    <n v="4218.6499999999996"/>
    <n v="771444.98"/>
  </r>
  <r>
    <x v="7"/>
    <x v="5"/>
    <n v="4186.4799999999996"/>
    <n v="768436.11"/>
  </r>
  <r>
    <x v="8"/>
    <x v="5"/>
    <n v="4566.3"/>
    <n v="826848.22"/>
  </r>
  <r>
    <x v="9"/>
    <x v="6"/>
    <n v="4617.1499999999996"/>
    <n v="831993.11"/>
  </r>
  <r>
    <x v="10"/>
    <x v="6"/>
    <n v="4527.49"/>
    <n v="826843"/>
  </r>
  <r>
    <x v="11"/>
    <x v="6"/>
    <n v="5405.65"/>
    <n v="960581.66"/>
  </r>
  <r>
    <x v="0"/>
    <x v="6"/>
    <n v="5583.05"/>
    <n v="983302.27"/>
  </r>
  <r>
    <x v="1"/>
    <x v="6"/>
    <n v="5955.2"/>
    <n v="1041520.07"/>
  </r>
  <r>
    <x v="2"/>
    <x v="6"/>
    <n v="5862.75"/>
    <n v="1014384.31"/>
  </r>
  <r>
    <x v="3"/>
    <x v="6"/>
    <n v="6288.4"/>
    <n v="1062991.76"/>
  </r>
  <r>
    <x v="4"/>
    <x v="6"/>
    <n v="6579.63"/>
    <n v="1072792.68"/>
  </r>
  <r>
    <x v="5"/>
    <x v="6"/>
    <n v="6780.8"/>
    <n v="1116438.1000000001"/>
  </r>
  <r>
    <x v="6"/>
    <x v="6"/>
    <n v="7305.42"/>
    <n v="1211582.51"/>
  </r>
  <r>
    <x v="7"/>
    <x v="6"/>
    <n v="7309.45"/>
    <n v="1190593.3899999999"/>
  </r>
  <r>
    <x v="8"/>
    <x v="6"/>
    <n v="7829.49"/>
    <n v="1282055.01"/>
  </r>
  <r>
    <x v="9"/>
    <x v="7"/>
    <n v="8036.89"/>
    <n v="1298726.6200000001"/>
  </r>
  <r>
    <x v="10"/>
    <x v="7"/>
    <n v="7534.76"/>
    <n v="1235846.6200000001"/>
  </r>
  <r>
    <x v="11"/>
    <x v="7"/>
    <n v="8685.2999999999993"/>
    <n v="1410443.01"/>
  </r>
  <r>
    <x v="0"/>
    <x v="7"/>
    <n v="8863.26"/>
    <n v="1415504.71"/>
  </r>
  <r>
    <x v="1"/>
    <x v="7"/>
    <n v="9415.19"/>
    <n v="1489145.44"/>
  </r>
  <r>
    <x v="2"/>
    <x v="7"/>
    <n v="9335.06"/>
    <n v="1475464.26"/>
  </r>
  <r>
    <x v="3"/>
    <x v="7"/>
    <n v="9964.61"/>
    <n v="1533536.44"/>
  </r>
  <r>
    <x v="4"/>
    <x v="7"/>
    <n v="10586.02"/>
    <n v="1576536.56"/>
  </r>
  <r>
    <x v="5"/>
    <x v="7"/>
    <n v="10555.69"/>
    <n v="1579133.18"/>
  </r>
  <r>
    <x v="6"/>
    <x v="7"/>
    <n v="11408.79"/>
    <n v="1715768.34"/>
  </r>
  <r>
    <x v="7"/>
    <x v="7"/>
    <n v="11235.29"/>
    <n v="1739740.61"/>
  </r>
  <r>
    <x v="8"/>
    <x v="7"/>
    <n v="12020.23"/>
    <n v="1822949.42"/>
  </r>
  <r>
    <x v="9"/>
    <x v="8"/>
    <n v="12203.02"/>
    <n v="1841083.97"/>
  </r>
  <r>
    <x v="10"/>
    <x v="8"/>
    <n v="12102.67"/>
    <n v="1827869.35"/>
  </r>
  <r>
    <x v="11"/>
    <x v="8"/>
    <n v="13440"/>
    <n v="1978353.23"/>
  </r>
  <r>
    <x v="0"/>
    <x v="8"/>
    <n v="13303.99"/>
    <n v="1964464.52"/>
  </r>
  <r>
    <x v="1"/>
    <x v="8"/>
    <n v="14035.84"/>
    <n v="2044937.05"/>
  </r>
  <r>
    <x v="2"/>
    <x v="8"/>
    <n v="13885.14"/>
    <n v="2007081.2"/>
  </r>
  <r>
    <x v="3"/>
    <x v="8"/>
    <n v="14435.55"/>
    <n v="2064292.41"/>
  </r>
  <r>
    <x v="4"/>
    <x v="8"/>
    <n v="14963.05"/>
    <n v="2060735.57"/>
  </r>
  <r>
    <x v="5"/>
    <x v="8"/>
    <n v="15041.75"/>
    <n v="2063994.71"/>
  </r>
  <r>
    <x v="6"/>
    <x v="8"/>
    <n v="16584.97"/>
    <n v="2349821.46"/>
  </r>
  <r>
    <x v="7"/>
    <x v="8"/>
    <n v="15482.02"/>
    <n v="2155187.4"/>
  </r>
  <r>
    <x v="8"/>
    <x v="8"/>
    <n v="16730.009999999998"/>
    <n v="2324699.91"/>
  </r>
  <r>
    <x v="9"/>
    <x v="9"/>
    <n v="16996"/>
    <n v="2348037.1200000001"/>
  </r>
  <r>
    <x v="10"/>
    <x v="9"/>
    <n v="16106.19"/>
    <n v="2196481.69"/>
  </r>
  <r>
    <x v="11"/>
    <x v="9"/>
    <n v="18301.509999999998"/>
    <n v="2477221.61"/>
  </r>
  <r>
    <x v="0"/>
    <x v="9"/>
    <n v="17893.419999999998"/>
    <n v="2394925.87"/>
  </r>
  <r>
    <x v="1"/>
    <x v="9"/>
    <n v="18677.46"/>
    <n v="2514297.0099999998"/>
  </r>
  <r>
    <x v="2"/>
    <x v="9"/>
    <n v="18395.009999999998"/>
    <n v="2403930.69"/>
  </r>
  <r>
    <x v="3"/>
    <x v="9"/>
    <n v="19467.95"/>
    <n v="2508498.09"/>
  </r>
  <r>
    <x v="4"/>
    <x v="9"/>
    <n v="20008.310000000001"/>
    <n v="2485472.91"/>
  </r>
  <r>
    <x v="5"/>
    <x v="9"/>
    <n v="19633.43"/>
    <n v="2489736.54"/>
  </r>
  <r>
    <x v="6"/>
    <x v="9"/>
    <n v="20700.919999999998"/>
    <n v="2727790.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A011D-7F96-424F-9945-870738C7F6B4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AE17" firstHeaderRow="1" firstDataRow="2" firstDataCol="1"/>
  <pivotFields count="4"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Value (In Cr.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5B98A-EFAF-464A-BD1D-58CE43BFCBF8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R17" firstHeaderRow="1" firstDataRow="2" firstDataCol="1"/>
  <pivotFields count="3"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Volume (In Mn.)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93963-2D64-4190-BF86-29E63752289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38" firstHeaderRow="1" firstDataRow="2" firstDataCol="1"/>
  <pivotFields count="4">
    <pivotField showAll="0"/>
    <pivotField axis="axisRow" showAll="0">
      <items count="34">
        <item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1"/>
        <item x="30"/>
        <item x="32"/>
        <item t="default"/>
      </items>
    </pivotField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</pivotFields>
  <rowFields count="1">
    <field x="1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2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um of  Retail_GSVA (Rs. in lakh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481F9-3ADE-4E64-A225-5E908BE44E46}">
  <dimension ref="A1:AE116"/>
  <sheetViews>
    <sheetView topLeftCell="I52" zoomScale="85" zoomScaleNormal="85" workbookViewId="0">
      <selection activeCell="AG75" sqref="AG75"/>
    </sheetView>
  </sheetViews>
  <sheetFormatPr defaultRowHeight="14.5" x14ac:dyDescent="0.35"/>
  <cols>
    <col min="1" max="1" width="16.7265625" customWidth="1"/>
    <col min="2" max="2" width="10.81640625" customWidth="1"/>
    <col min="3" max="3" width="36.6328125" customWidth="1"/>
    <col min="4" max="4" width="25.1796875" customWidth="1"/>
    <col min="7" max="7" width="20.90625" bestFit="1" customWidth="1"/>
    <col min="8" max="8" width="15.90625" bestFit="1" customWidth="1"/>
    <col min="9" max="9" width="6.81640625" bestFit="1" customWidth="1"/>
    <col min="10" max="10" width="7.81640625" bestFit="1" customWidth="1"/>
    <col min="11" max="14" width="8.81640625" bestFit="1" customWidth="1"/>
    <col min="15" max="16" width="9.81640625" bestFit="1" customWidth="1"/>
    <col min="17" max="17" width="8.81640625" bestFit="1" customWidth="1"/>
    <col min="18" max="18" width="10.7265625" bestFit="1" customWidth="1"/>
    <col min="19" max="19" width="7.36328125" bestFit="1" customWidth="1"/>
    <col min="20" max="20" width="18.1796875" bestFit="1" customWidth="1"/>
    <col min="21" max="21" width="15.90625" bestFit="1" customWidth="1"/>
    <col min="22" max="22" width="8.81640625" bestFit="1" customWidth="1"/>
    <col min="23" max="23" width="9.81640625" bestFit="1" customWidth="1"/>
    <col min="24" max="25" width="10.81640625" bestFit="1" customWidth="1"/>
    <col min="26" max="26" width="9.81640625" bestFit="1" customWidth="1"/>
    <col min="27" max="31" width="11.81640625" bestFit="1" customWidth="1"/>
    <col min="32" max="32" width="21" customWidth="1"/>
    <col min="33" max="42" width="2.81640625" bestFit="1" customWidth="1"/>
    <col min="43" max="43" width="9.54296875" bestFit="1" customWidth="1"/>
    <col min="44" max="44" width="6.6328125" bestFit="1" customWidth="1"/>
    <col min="45" max="55" width="2.81640625" bestFit="1" customWidth="1"/>
    <col min="56" max="56" width="9.54296875" bestFit="1" customWidth="1"/>
    <col min="57" max="57" width="6.6328125" bestFit="1" customWidth="1"/>
    <col min="58" max="68" width="2.81640625" bestFit="1" customWidth="1"/>
    <col min="69" max="69" width="9.54296875" bestFit="1" customWidth="1"/>
    <col min="70" max="70" width="6.6328125" bestFit="1" customWidth="1"/>
    <col min="71" max="81" width="2.81640625" bestFit="1" customWidth="1"/>
    <col min="82" max="82" width="9.54296875" bestFit="1" customWidth="1"/>
    <col min="83" max="83" width="6.6328125" bestFit="1" customWidth="1"/>
    <col min="84" max="94" width="2.81640625" bestFit="1" customWidth="1"/>
    <col min="95" max="95" width="9.54296875" bestFit="1" customWidth="1"/>
    <col min="96" max="96" width="6.6328125" bestFit="1" customWidth="1"/>
    <col min="97" max="107" width="2.81640625" bestFit="1" customWidth="1"/>
    <col min="108" max="108" width="9.54296875" bestFit="1" customWidth="1"/>
    <col min="109" max="109" width="6.6328125" bestFit="1" customWidth="1"/>
    <col min="110" max="115" width="2.81640625" bestFit="1" customWidth="1"/>
    <col min="116" max="120" width="3.81640625" bestFit="1" customWidth="1"/>
    <col min="121" max="121" width="9.54296875" bestFit="1" customWidth="1"/>
    <col min="122" max="122" width="6.6328125" bestFit="1" customWidth="1"/>
    <col min="123" max="131" width="3.81640625" bestFit="1" customWidth="1"/>
    <col min="132" max="132" width="9.54296875" bestFit="1" customWidth="1"/>
    <col min="133" max="133" width="10.7265625" bestFit="1" customWidth="1"/>
  </cols>
  <sheetData>
    <row r="1" spans="1:31" x14ac:dyDescent="0.35">
      <c r="A1" s="11" t="s">
        <v>0</v>
      </c>
      <c r="B1" s="11" t="s">
        <v>94</v>
      </c>
      <c r="C1" s="11" t="s">
        <v>158</v>
      </c>
      <c r="D1" s="11" t="s">
        <v>159</v>
      </c>
    </row>
    <row r="2" spans="1:31" x14ac:dyDescent="0.35">
      <c r="A2" t="s">
        <v>12</v>
      </c>
      <c r="B2">
        <v>2016</v>
      </c>
      <c r="C2">
        <v>0</v>
      </c>
      <c r="D2">
        <v>0</v>
      </c>
      <c r="G2" s="8" t="s">
        <v>63</v>
      </c>
    </row>
    <row r="3" spans="1:31" x14ac:dyDescent="0.35">
      <c r="A3" t="s">
        <v>11</v>
      </c>
      <c r="B3">
        <v>2016</v>
      </c>
      <c r="C3">
        <v>0</v>
      </c>
      <c r="D3">
        <v>0</v>
      </c>
      <c r="G3" s="9" t="s">
        <v>161</v>
      </c>
      <c r="H3" s="9" t="s">
        <v>66</v>
      </c>
      <c r="T3" s="9" t="s">
        <v>160</v>
      </c>
      <c r="U3" s="9" t="s">
        <v>66</v>
      </c>
    </row>
    <row r="4" spans="1:31" x14ac:dyDescent="0.35">
      <c r="A4" t="s">
        <v>10</v>
      </c>
      <c r="B4">
        <v>2016</v>
      </c>
      <c r="C4">
        <v>0</v>
      </c>
      <c r="D4">
        <v>0</v>
      </c>
      <c r="G4" s="9" t="s">
        <v>64</v>
      </c>
      <c r="H4">
        <v>2016</v>
      </c>
      <c r="I4">
        <v>2017</v>
      </c>
      <c r="J4">
        <v>2018</v>
      </c>
      <c r="K4">
        <v>2019</v>
      </c>
      <c r="L4">
        <v>2020</v>
      </c>
      <c r="M4">
        <v>2021</v>
      </c>
      <c r="N4">
        <v>2022</v>
      </c>
      <c r="O4">
        <v>2023</v>
      </c>
      <c r="P4">
        <v>2024</v>
      </c>
      <c r="Q4">
        <v>2025</v>
      </c>
      <c r="R4" t="s">
        <v>65</v>
      </c>
      <c r="T4" s="9" t="s">
        <v>64</v>
      </c>
      <c r="U4">
        <v>2016</v>
      </c>
      <c r="V4">
        <v>2017</v>
      </c>
      <c r="W4">
        <v>2018</v>
      </c>
      <c r="X4">
        <v>2019</v>
      </c>
      <c r="Y4">
        <v>2020</v>
      </c>
      <c r="Z4">
        <v>2021</v>
      </c>
      <c r="AA4">
        <v>2022</v>
      </c>
      <c r="AB4">
        <v>2023</v>
      </c>
      <c r="AC4">
        <v>2024</v>
      </c>
      <c r="AD4">
        <v>2025</v>
      </c>
      <c r="AE4" t="s">
        <v>65</v>
      </c>
    </row>
    <row r="5" spans="1:31" x14ac:dyDescent="0.35">
      <c r="A5" t="s">
        <v>9</v>
      </c>
      <c r="B5">
        <v>2016</v>
      </c>
      <c r="C5">
        <v>0.09</v>
      </c>
      <c r="D5">
        <v>0.38</v>
      </c>
      <c r="G5" s="10" t="s">
        <v>3</v>
      </c>
      <c r="I5">
        <v>4.46</v>
      </c>
      <c r="J5">
        <v>151.83000000000001</v>
      </c>
      <c r="K5">
        <v>672.75</v>
      </c>
      <c r="L5">
        <v>1305.02</v>
      </c>
      <c r="M5">
        <v>2302.73</v>
      </c>
      <c r="N5">
        <v>4617.1499999999996</v>
      </c>
      <c r="O5">
        <v>8036.89</v>
      </c>
      <c r="P5">
        <v>12203.02</v>
      </c>
      <c r="Q5">
        <v>16996</v>
      </c>
      <c r="R5">
        <v>46289.85</v>
      </c>
      <c r="T5" s="10" t="s">
        <v>3</v>
      </c>
      <c r="V5">
        <v>1696.22</v>
      </c>
      <c r="W5">
        <v>15571.2</v>
      </c>
      <c r="X5">
        <v>109932.43</v>
      </c>
      <c r="Y5">
        <v>216242.97</v>
      </c>
      <c r="Z5">
        <v>431181.89</v>
      </c>
      <c r="AA5">
        <v>831993.11</v>
      </c>
      <c r="AB5">
        <v>1298726.6200000001</v>
      </c>
      <c r="AC5">
        <v>1841083.97</v>
      </c>
      <c r="AD5">
        <v>2348037.1200000001</v>
      </c>
      <c r="AE5">
        <v>7094465.5300000003</v>
      </c>
    </row>
    <row r="6" spans="1:31" x14ac:dyDescent="0.35">
      <c r="A6" t="s">
        <v>8</v>
      </c>
      <c r="B6">
        <v>2016</v>
      </c>
      <c r="C6">
        <v>0.09</v>
      </c>
      <c r="D6">
        <v>3.09</v>
      </c>
      <c r="G6" s="10" t="s">
        <v>2</v>
      </c>
      <c r="I6">
        <v>4.38</v>
      </c>
      <c r="J6">
        <v>171.4</v>
      </c>
      <c r="K6">
        <v>674.19</v>
      </c>
      <c r="L6">
        <v>1325.69</v>
      </c>
      <c r="M6">
        <v>2292.9</v>
      </c>
      <c r="N6">
        <v>4527.49</v>
      </c>
      <c r="O6">
        <v>7534.76</v>
      </c>
      <c r="P6">
        <v>12102.67</v>
      </c>
      <c r="Q6">
        <v>16106.19</v>
      </c>
      <c r="R6">
        <v>44739.67</v>
      </c>
      <c r="T6" s="10" t="s">
        <v>2</v>
      </c>
      <c r="V6">
        <v>1937.71</v>
      </c>
      <c r="W6">
        <v>19126.2</v>
      </c>
      <c r="X6">
        <v>106737.12</v>
      </c>
      <c r="Y6">
        <v>222516.95</v>
      </c>
      <c r="Z6">
        <v>425062.76</v>
      </c>
      <c r="AA6">
        <v>826843</v>
      </c>
      <c r="AB6">
        <v>1235846.6200000001</v>
      </c>
      <c r="AC6">
        <v>1827869.35</v>
      </c>
      <c r="AD6">
        <v>2196481.69</v>
      </c>
      <c r="AE6">
        <v>6862421.4000000004</v>
      </c>
    </row>
    <row r="7" spans="1:31" x14ac:dyDescent="0.35">
      <c r="A7" t="s">
        <v>7</v>
      </c>
      <c r="B7">
        <v>2016</v>
      </c>
      <c r="C7">
        <v>0.09</v>
      </c>
      <c r="D7">
        <v>32.64</v>
      </c>
      <c r="G7" s="10" t="s">
        <v>1</v>
      </c>
      <c r="I7">
        <v>6.37</v>
      </c>
      <c r="J7">
        <v>178.05</v>
      </c>
      <c r="K7">
        <v>799.54</v>
      </c>
      <c r="L7">
        <v>1246.8399999999999</v>
      </c>
      <c r="M7">
        <v>2731.68</v>
      </c>
      <c r="N7">
        <v>5405.65</v>
      </c>
      <c r="O7">
        <v>8685.2999999999993</v>
      </c>
      <c r="P7">
        <v>13440</v>
      </c>
      <c r="Q7">
        <v>18301.509999999998</v>
      </c>
      <c r="R7">
        <v>50794.94</v>
      </c>
      <c r="T7" s="10" t="s">
        <v>1</v>
      </c>
      <c r="V7">
        <v>2425.14</v>
      </c>
      <c r="W7">
        <v>24172.6</v>
      </c>
      <c r="X7">
        <v>133460.72</v>
      </c>
      <c r="Y7">
        <v>206462.31</v>
      </c>
      <c r="Z7">
        <v>504886.44</v>
      </c>
      <c r="AA7">
        <v>960581.66</v>
      </c>
      <c r="AB7">
        <v>1410443.01</v>
      </c>
      <c r="AC7">
        <v>1978353.23</v>
      </c>
      <c r="AD7">
        <v>2477221.61</v>
      </c>
      <c r="AE7">
        <v>7698006.7199999988</v>
      </c>
    </row>
    <row r="8" spans="1:31" x14ac:dyDescent="0.35">
      <c r="A8" t="s">
        <v>6</v>
      </c>
      <c r="B8">
        <v>2016</v>
      </c>
      <c r="C8">
        <v>0.1</v>
      </c>
      <c r="D8">
        <v>48.57</v>
      </c>
      <c r="G8" s="10" t="s">
        <v>12</v>
      </c>
      <c r="H8">
        <v>0</v>
      </c>
      <c r="I8">
        <v>7.2</v>
      </c>
      <c r="J8">
        <v>190.08</v>
      </c>
      <c r="K8">
        <v>781.79</v>
      </c>
      <c r="L8">
        <v>999.57</v>
      </c>
      <c r="M8">
        <v>2641.06</v>
      </c>
      <c r="N8">
        <v>5583.05</v>
      </c>
      <c r="O8">
        <v>8863.26</v>
      </c>
      <c r="P8">
        <v>13303.99</v>
      </c>
      <c r="Q8">
        <v>17893.419999999998</v>
      </c>
      <c r="R8">
        <v>50263.42</v>
      </c>
      <c r="T8" s="10" t="s">
        <v>12</v>
      </c>
      <c r="U8">
        <v>0</v>
      </c>
      <c r="V8">
        <v>2271.2399999999998</v>
      </c>
      <c r="W8">
        <v>27021.85</v>
      </c>
      <c r="X8">
        <v>142034.39000000001</v>
      </c>
      <c r="Y8">
        <v>151140.66</v>
      </c>
      <c r="Z8">
        <v>493663.68</v>
      </c>
      <c r="AA8">
        <v>983302.27</v>
      </c>
      <c r="AB8">
        <v>1415504.71</v>
      </c>
      <c r="AC8">
        <v>1964464.52</v>
      </c>
      <c r="AD8">
        <v>2394925.87</v>
      </c>
      <c r="AE8">
        <v>7574329.1900000004</v>
      </c>
    </row>
    <row r="9" spans="1:31" x14ac:dyDescent="0.35">
      <c r="A9" t="s">
        <v>5</v>
      </c>
      <c r="B9">
        <v>2016</v>
      </c>
      <c r="C9">
        <v>0.28999999999999998</v>
      </c>
      <c r="D9">
        <v>100.46</v>
      </c>
      <c r="G9" s="10" t="s">
        <v>11</v>
      </c>
      <c r="H9">
        <v>0</v>
      </c>
      <c r="I9">
        <v>9.36</v>
      </c>
      <c r="J9">
        <v>189.48</v>
      </c>
      <c r="K9">
        <v>733.54</v>
      </c>
      <c r="L9">
        <v>1234.5</v>
      </c>
      <c r="M9">
        <v>2539.5700000000002</v>
      </c>
      <c r="N9">
        <v>5955.2</v>
      </c>
      <c r="O9">
        <v>9415.19</v>
      </c>
      <c r="P9">
        <v>14035.84</v>
      </c>
      <c r="Q9">
        <v>18677.46</v>
      </c>
      <c r="R9">
        <v>52790.140000000007</v>
      </c>
      <c r="T9" s="10" t="s">
        <v>11</v>
      </c>
      <c r="U9">
        <v>0</v>
      </c>
      <c r="V9">
        <v>2797.07</v>
      </c>
      <c r="W9">
        <v>33288.51</v>
      </c>
      <c r="X9">
        <v>152449.29</v>
      </c>
      <c r="Y9">
        <v>218391.6</v>
      </c>
      <c r="Z9">
        <v>490638.65</v>
      </c>
      <c r="AA9">
        <v>1041520.07</v>
      </c>
      <c r="AB9">
        <v>1489145.44</v>
      </c>
      <c r="AC9">
        <v>2044937.05</v>
      </c>
      <c r="AD9">
        <v>2514297.0099999998</v>
      </c>
      <c r="AE9">
        <v>7987464.6899999995</v>
      </c>
    </row>
    <row r="10" spans="1:31" x14ac:dyDescent="0.35">
      <c r="A10" t="s">
        <v>4</v>
      </c>
      <c r="B10">
        <v>2016</v>
      </c>
      <c r="C10">
        <v>1.99</v>
      </c>
      <c r="D10">
        <v>707.93</v>
      </c>
      <c r="G10" s="10" t="s">
        <v>10</v>
      </c>
      <c r="H10">
        <v>0</v>
      </c>
      <c r="I10">
        <v>10.35</v>
      </c>
      <c r="J10">
        <v>246.37</v>
      </c>
      <c r="K10">
        <v>754.54</v>
      </c>
      <c r="L10">
        <v>1336.93</v>
      </c>
      <c r="M10">
        <v>2807.51</v>
      </c>
      <c r="N10">
        <v>5862.75</v>
      </c>
      <c r="O10">
        <v>9335.06</v>
      </c>
      <c r="P10">
        <v>13885.14</v>
      </c>
      <c r="Q10">
        <v>18395.009999999998</v>
      </c>
      <c r="R10">
        <v>52633.66</v>
      </c>
      <c r="T10" s="10" t="s">
        <v>10</v>
      </c>
      <c r="U10">
        <v>0</v>
      </c>
      <c r="V10">
        <v>3098.36</v>
      </c>
      <c r="W10">
        <v>40834.03</v>
      </c>
      <c r="X10">
        <v>146566.35</v>
      </c>
      <c r="Y10">
        <v>261835</v>
      </c>
      <c r="Z10">
        <v>547373.17000000004</v>
      </c>
      <c r="AA10">
        <v>1014384.31</v>
      </c>
      <c r="AB10">
        <v>1475464.26</v>
      </c>
      <c r="AC10">
        <v>2007081.2</v>
      </c>
      <c r="AD10">
        <v>2403930.69</v>
      </c>
      <c r="AE10">
        <v>7900567.370000001</v>
      </c>
    </row>
    <row r="11" spans="1:31" x14ac:dyDescent="0.35">
      <c r="A11" t="s">
        <v>3</v>
      </c>
      <c r="B11">
        <v>2017</v>
      </c>
      <c r="C11">
        <v>4.46</v>
      </c>
      <c r="D11">
        <v>1696.22</v>
      </c>
      <c r="G11" s="10" t="s">
        <v>9</v>
      </c>
      <c r="H11">
        <v>0.09</v>
      </c>
      <c r="I11">
        <v>11.63</v>
      </c>
      <c r="J11">
        <v>273.75</v>
      </c>
      <c r="K11">
        <v>822.29</v>
      </c>
      <c r="L11">
        <v>1497.36</v>
      </c>
      <c r="M11">
        <v>3247.82</v>
      </c>
      <c r="N11">
        <v>6288.4</v>
      </c>
      <c r="O11">
        <v>9964.61</v>
      </c>
      <c r="P11">
        <v>14435.55</v>
      </c>
      <c r="Q11">
        <v>19467.95</v>
      </c>
      <c r="R11">
        <v>56009.45</v>
      </c>
      <c r="T11" s="10" t="s">
        <v>9</v>
      </c>
      <c r="U11">
        <v>0.38</v>
      </c>
      <c r="V11">
        <v>3411.35</v>
      </c>
      <c r="W11">
        <v>51843.14</v>
      </c>
      <c r="X11">
        <v>146386.64000000001</v>
      </c>
      <c r="Y11">
        <v>290537.86</v>
      </c>
      <c r="Z11">
        <v>606281.14</v>
      </c>
      <c r="AA11">
        <v>1062991.76</v>
      </c>
      <c r="AB11">
        <v>1533536.44</v>
      </c>
      <c r="AC11">
        <v>2064292.41</v>
      </c>
      <c r="AD11">
        <v>2508498.09</v>
      </c>
      <c r="AE11">
        <v>8267779.21</v>
      </c>
    </row>
    <row r="12" spans="1:31" x14ac:dyDescent="0.35">
      <c r="A12" t="s">
        <v>2</v>
      </c>
      <c r="B12">
        <v>2017</v>
      </c>
      <c r="C12">
        <v>4.38</v>
      </c>
      <c r="D12">
        <v>1937.71</v>
      </c>
      <c r="G12" s="10" t="s">
        <v>8</v>
      </c>
      <c r="H12">
        <v>0.09</v>
      </c>
      <c r="I12">
        <v>16.8</v>
      </c>
      <c r="J12">
        <v>312.02</v>
      </c>
      <c r="K12">
        <v>918.35</v>
      </c>
      <c r="L12">
        <v>1618.83</v>
      </c>
      <c r="M12">
        <v>3555.55</v>
      </c>
      <c r="N12">
        <v>6579.63</v>
      </c>
      <c r="O12">
        <v>10586.02</v>
      </c>
      <c r="P12">
        <v>14963.05</v>
      </c>
      <c r="Q12">
        <v>20008.310000000001</v>
      </c>
      <c r="R12">
        <v>58558.649999999994</v>
      </c>
      <c r="T12" s="10" t="s">
        <v>8</v>
      </c>
      <c r="U12">
        <v>3.09</v>
      </c>
      <c r="V12">
        <v>4156.62</v>
      </c>
      <c r="W12">
        <v>54212.26</v>
      </c>
      <c r="X12">
        <v>154504.89000000001</v>
      </c>
      <c r="Y12">
        <v>298307.61</v>
      </c>
      <c r="Z12">
        <v>639116.94999999995</v>
      </c>
      <c r="AA12">
        <v>1072792.68</v>
      </c>
      <c r="AB12">
        <v>1576536.56</v>
      </c>
      <c r="AC12">
        <v>2060735.57</v>
      </c>
      <c r="AD12">
        <v>2485472.91</v>
      </c>
      <c r="AE12">
        <v>8345839.1399999997</v>
      </c>
    </row>
    <row r="13" spans="1:31" x14ac:dyDescent="0.35">
      <c r="A13" t="s">
        <v>1</v>
      </c>
      <c r="B13">
        <v>2017</v>
      </c>
      <c r="C13">
        <v>6.37</v>
      </c>
      <c r="D13">
        <v>2425.14</v>
      </c>
      <c r="G13" s="10" t="s">
        <v>7</v>
      </c>
      <c r="H13">
        <v>0.09</v>
      </c>
      <c r="I13">
        <v>30.98</v>
      </c>
      <c r="J13">
        <v>405.87</v>
      </c>
      <c r="K13">
        <v>955.02</v>
      </c>
      <c r="L13">
        <v>1800.14</v>
      </c>
      <c r="M13">
        <v>3654.3</v>
      </c>
      <c r="N13">
        <v>6780.8</v>
      </c>
      <c r="O13">
        <v>10555.69</v>
      </c>
      <c r="P13">
        <v>15041.75</v>
      </c>
      <c r="Q13">
        <v>19633.43</v>
      </c>
      <c r="R13">
        <v>58858.07</v>
      </c>
      <c r="T13" s="10" t="s">
        <v>7</v>
      </c>
      <c r="U13">
        <v>32.64</v>
      </c>
      <c r="V13">
        <v>5325.81</v>
      </c>
      <c r="W13">
        <v>59835.360000000001</v>
      </c>
      <c r="X13">
        <v>161456.56</v>
      </c>
      <c r="Y13">
        <v>329027.65999999997</v>
      </c>
      <c r="Z13">
        <v>654351.81000000006</v>
      </c>
      <c r="AA13">
        <v>1116438.1000000001</v>
      </c>
      <c r="AB13">
        <v>1579133.18</v>
      </c>
      <c r="AC13">
        <v>2063994.71</v>
      </c>
      <c r="AD13">
        <v>2489736.54</v>
      </c>
      <c r="AE13">
        <v>8459332.370000001</v>
      </c>
    </row>
    <row r="14" spans="1:31" x14ac:dyDescent="0.35">
      <c r="A14" t="s">
        <v>12</v>
      </c>
      <c r="B14">
        <v>2017</v>
      </c>
      <c r="C14">
        <v>7.2</v>
      </c>
      <c r="D14">
        <v>2271.2399999999998</v>
      </c>
      <c r="G14" s="10" t="s">
        <v>6</v>
      </c>
      <c r="H14">
        <v>0.1</v>
      </c>
      <c r="I14">
        <v>76.959999999999994</v>
      </c>
      <c r="J14">
        <v>482.36</v>
      </c>
      <c r="K14">
        <v>1148.3599999999999</v>
      </c>
      <c r="L14">
        <v>2071.62</v>
      </c>
      <c r="M14">
        <v>4218.6499999999996</v>
      </c>
      <c r="N14">
        <v>7305.42</v>
      </c>
      <c r="O14">
        <v>11408.79</v>
      </c>
      <c r="P14">
        <v>16584.97</v>
      </c>
      <c r="Q14">
        <v>20700.919999999998</v>
      </c>
      <c r="R14">
        <v>63998.15</v>
      </c>
      <c r="T14" s="10" t="s">
        <v>6</v>
      </c>
      <c r="U14">
        <v>48.57</v>
      </c>
      <c r="V14">
        <v>7057.78</v>
      </c>
      <c r="W14">
        <v>74978.27</v>
      </c>
      <c r="X14">
        <v>191359.94</v>
      </c>
      <c r="Y14">
        <v>386106.74</v>
      </c>
      <c r="Z14">
        <v>771444.98</v>
      </c>
      <c r="AA14">
        <v>1211582.51</v>
      </c>
      <c r="AB14">
        <v>1715768.34</v>
      </c>
      <c r="AC14">
        <v>2349821.46</v>
      </c>
      <c r="AD14">
        <v>2727790.68</v>
      </c>
      <c r="AE14">
        <v>9435959.2699999996</v>
      </c>
    </row>
    <row r="15" spans="1:31" x14ac:dyDescent="0.35">
      <c r="A15" t="s">
        <v>11</v>
      </c>
      <c r="B15">
        <v>2017</v>
      </c>
      <c r="C15">
        <v>9.36</v>
      </c>
      <c r="D15">
        <v>2797.07</v>
      </c>
      <c r="G15" s="10" t="s">
        <v>5</v>
      </c>
      <c r="H15">
        <v>0.28999999999999998</v>
      </c>
      <c r="I15">
        <v>105.02</v>
      </c>
      <c r="J15">
        <v>524.94000000000005</v>
      </c>
      <c r="K15">
        <v>1218.77</v>
      </c>
      <c r="L15">
        <v>2210.23</v>
      </c>
      <c r="M15">
        <v>4186.4799999999996</v>
      </c>
      <c r="N15">
        <v>7309.45</v>
      </c>
      <c r="O15">
        <v>11235.29</v>
      </c>
      <c r="P15">
        <v>15482.02</v>
      </c>
      <c r="R15">
        <v>42272.490000000005</v>
      </c>
      <c r="T15" s="10" t="s">
        <v>5</v>
      </c>
      <c r="U15">
        <v>100.46</v>
      </c>
      <c r="V15">
        <v>9669.33</v>
      </c>
      <c r="W15">
        <v>82232.210000000006</v>
      </c>
      <c r="X15">
        <v>189229.09</v>
      </c>
      <c r="Y15">
        <v>390999.15</v>
      </c>
      <c r="Z15">
        <v>768436.11</v>
      </c>
      <c r="AA15">
        <v>1190593.3899999999</v>
      </c>
      <c r="AB15">
        <v>1739740.61</v>
      </c>
      <c r="AC15">
        <v>2155187.4</v>
      </c>
      <c r="AE15">
        <v>6526187.75</v>
      </c>
    </row>
    <row r="16" spans="1:31" x14ac:dyDescent="0.35">
      <c r="A16" t="s">
        <v>10</v>
      </c>
      <c r="B16">
        <v>2017</v>
      </c>
      <c r="C16">
        <v>10.35</v>
      </c>
      <c r="D16">
        <v>3098.36</v>
      </c>
      <c r="G16" s="10" t="s">
        <v>4</v>
      </c>
      <c r="H16">
        <v>1.99</v>
      </c>
      <c r="I16">
        <v>145.63999999999999</v>
      </c>
      <c r="J16">
        <v>620.16999999999996</v>
      </c>
      <c r="K16">
        <v>1308.4000000000001</v>
      </c>
      <c r="L16">
        <v>2234.16</v>
      </c>
      <c r="M16">
        <v>4566.3</v>
      </c>
      <c r="N16">
        <v>7829.49</v>
      </c>
      <c r="O16">
        <v>12020.23</v>
      </c>
      <c r="P16">
        <v>16730.009999999998</v>
      </c>
      <c r="R16">
        <v>45456.39</v>
      </c>
      <c r="T16" s="10" t="s">
        <v>4</v>
      </c>
      <c r="U16">
        <v>707.93</v>
      </c>
      <c r="V16">
        <v>13174.24</v>
      </c>
      <c r="W16">
        <v>102594.82</v>
      </c>
      <c r="X16">
        <v>202520.76</v>
      </c>
      <c r="Y16">
        <v>416176.21</v>
      </c>
      <c r="Z16">
        <v>826848.22</v>
      </c>
      <c r="AA16">
        <v>1282055.01</v>
      </c>
      <c r="AB16">
        <v>1822949.42</v>
      </c>
      <c r="AC16">
        <v>2324699.91</v>
      </c>
      <c r="AE16">
        <v>6991726.5199999996</v>
      </c>
    </row>
    <row r="17" spans="1:31" x14ac:dyDescent="0.35">
      <c r="A17" t="s">
        <v>9</v>
      </c>
      <c r="B17">
        <v>2017</v>
      </c>
      <c r="C17">
        <v>11.63</v>
      </c>
      <c r="D17">
        <v>3411.35</v>
      </c>
      <c r="G17" s="10" t="s">
        <v>65</v>
      </c>
      <c r="H17">
        <v>2.65</v>
      </c>
      <c r="I17">
        <v>429.15</v>
      </c>
      <c r="J17">
        <v>3746.32</v>
      </c>
      <c r="K17">
        <v>10787.54</v>
      </c>
      <c r="L17">
        <v>18880.89</v>
      </c>
      <c r="M17">
        <v>38744.550000000003</v>
      </c>
      <c r="N17">
        <v>74044.48000000001</v>
      </c>
      <c r="O17">
        <v>117641.09000000001</v>
      </c>
      <c r="P17">
        <v>172208.01</v>
      </c>
      <c r="Q17">
        <v>186180.19999999995</v>
      </c>
      <c r="R17">
        <v>622664.88</v>
      </c>
      <c r="T17" s="10" t="s">
        <v>65</v>
      </c>
      <c r="U17">
        <v>893.06999999999994</v>
      </c>
      <c r="V17">
        <v>57020.87</v>
      </c>
      <c r="W17">
        <v>585710.45000000007</v>
      </c>
      <c r="X17">
        <v>1836638.1800000002</v>
      </c>
      <c r="Y17">
        <v>3387744.72</v>
      </c>
      <c r="Z17">
        <v>7159285.8000000007</v>
      </c>
      <c r="AA17">
        <v>12595077.869999999</v>
      </c>
      <c r="AB17">
        <v>18292795.210000001</v>
      </c>
      <c r="AC17">
        <v>24682520.780000001</v>
      </c>
      <c r="AD17">
        <v>24546392.209999997</v>
      </c>
      <c r="AE17">
        <v>93144079.159999996</v>
      </c>
    </row>
    <row r="18" spans="1:31" x14ac:dyDescent="0.35">
      <c r="A18" t="s">
        <v>8</v>
      </c>
      <c r="B18">
        <v>2017</v>
      </c>
      <c r="C18">
        <v>16.8</v>
      </c>
      <c r="D18">
        <v>4156.62</v>
      </c>
    </row>
    <row r="19" spans="1:31" x14ac:dyDescent="0.35">
      <c r="A19" t="s">
        <v>7</v>
      </c>
      <c r="B19">
        <v>2017</v>
      </c>
      <c r="C19">
        <v>30.98</v>
      </c>
      <c r="D19">
        <v>5325.81</v>
      </c>
    </row>
    <row r="20" spans="1:31" x14ac:dyDescent="0.35">
      <c r="A20" t="s">
        <v>6</v>
      </c>
      <c r="B20">
        <v>2017</v>
      </c>
      <c r="C20">
        <v>76.959999999999994</v>
      </c>
      <c r="D20">
        <v>7057.78</v>
      </c>
    </row>
    <row r="21" spans="1:31" x14ac:dyDescent="0.35">
      <c r="A21" t="s">
        <v>5</v>
      </c>
      <c r="B21">
        <v>2017</v>
      </c>
      <c r="C21">
        <v>105.02</v>
      </c>
      <c r="D21">
        <v>9669.33</v>
      </c>
    </row>
    <row r="22" spans="1:31" x14ac:dyDescent="0.35">
      <c r="A22" t="s">
        <v>4</v>
      </c>
      <c r="B22">
        <v>2017</v>
      </c>
      <c r="C22">
        <v>145.63999999999999</v>
      </c>
      <c r="D22">
        <v>13174.24</v>
      </c>
    </row>
    <row r="23" spans="1:31" x14ac:dyDescent="0.35">
      <c r="A23" t="s">
        <v>3</v>
      </c>
      <c r="B23">
        <v>2018</v>
      </c>
      <c r="C23">
        <v>151.83000000000001</v>
      </c>
      <c r="D23">
        <v>15571.2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31" x14ac:dyDescent="0.35">
      <c r="A24" t="s">
        <v>2</v>
      </c>
      <c r="B24">
        <v>2018</v>
      </c>
      <c r="C24">
        <v>171.4</v>
      </c>
      <c r="D24">
        <v>19126.2</v>
      </c>
      <c r="G24" s="11"/>
      <c r="U24" s="5"/>
    </row>
    <row r="25" spans="1:31" x14ac:dyDescent="0.35">
      <c r="A25" t="s">
        <v>1</v>
      </c>
      <c r="B25">
        <v>2018</v>
      </c>
      <c r="C25">
        <v>178.05</v>
      </c>
      <c r="D25">
        <v>24172.6</v>
      </c>
      <c r="G25" s="11"/>
      <c r="U25" s="5"/>
    </row>
    <row r="26" spans="1:31" x14ac:dyDescent="0.35">
      <c r="A26" t="s">
        <v>12</v>
      </c>
      <c r="B26">
        <v>2018</v>
      </c>
      <c r="C26">
        <v>190.08</v>
      </c>
      <c r="D26">
        <v>27021.85</v>
      </c>
      <c r="G26" s="11" t="s">
        <v>64</v>
      </c>
      <c r="H26">
        <v>2016</v>
      </c>
      <c r="I26">
        <v>2017</v>
      </c>
      <c r="J26">
        <v>2018</v>
      </c>
      <c r="K26">
        <v>2019</v>
      </c>
      <c r="L26">
        <v>2020</v>
      </c>
      <c r="M26">
        <v>2021</v>
      </c>
      <c r="N26">
        <v>2022</v>
      </c>
      <c r="O26">
        <v>2023</v>
      </c>
      <c r="P26">
        <v>2024</v>
      </c>
      <c r="Q26">
        <v>2025</v>
      </c>
      <c r="T26" t="s">
        <v>64</v>
      </c>
      <c r="U26" s="11">
        <v>2016</v>
      </c>
      <c r="V26">
        <v>2017</v>
      </c>
      <c r="W26">
        <v>2018</v>
      </c>
      <c r="X26">
        <v>2019</v>
      </c>
      <c r="Y26">
        <v>2020</v>
      </c>
      <c r="Z26">
        <v>2021</v>
      </c>
      <c r="AA26">
        <v>2022</v>
      </c>
      <c r="AB26">
        <v>2023</v>
      </c>
      <c r="AC26">
        <v>2024</v>
      </c>
      <c r="AD26">
        <v>2025</v>
      </c>
    </row>
    <row r="27" spans="1:31" x14ac:dyDescent="0.35">
      <c r="A27" t="s">
        <v>11</v>
      </c>
      <c r="B27">
        <v>2018</v>
      </c>
      <c r="C27">
        <v>189.48</v>
      </c>
      <c r="D27">
        <v>33288.51</v>
      </c>
      <c r="G27" s="27" t="s">
        <v>3</v>
      </c>
      <c r="H27" s="27"/>
      <c r="I27" s="27">
        <v>4.46</v>
      </c>
      <c r="J27" s="27">
        <v>151.83000000000001</v>
      </c>
      <c r="K27" s="27">
        <v>672.75</v>
      </c>
      <c r="L27" s="27">
        <v>1305.02</v>
      </c>
      <c r="M27" s="27">
        <v>2302.73</v>
      </c>
      <c r="N27" s="27">
        <v>4617.1499999999996</v>
      </c>
      <c r="O27" s="27">
        <v>8036.89</v>
      </c>
      <c r="P27" s="27">
        <v>12203.02</v>
      </c>
      <c r="Q27" s="27">
        <v>16996</v>
      </c>
      <c r="T27" t="s">
        <v>3</v>
      </c>
      <c r="U27" s="11"/>
      <c r="V27">
        <v>1696.22</v>
      </c>
      <c r="W27">
        <v>15571.2</v>
      </c>
      <c r="X27">
        <v>109932.43</v>
      </c>
      <c r="Y27">
        <v>216242.97</v>
      </c>
      <c r="Z27">
        <v>431181.89</v>
      </c>
      <c r="AA27">
        <v>831993.11</v>
      </c>
      <c r="AB27">
        <v>1298726.6200000001</v>
      </c>
      <c r="AC27">
        <v>1841083.97</v>
      </c>
      <c r="AD27">
        <v>2348037.1200000001</v>
      </c>
    </row>
    <row r="28" spans="1:31" x14ac:dyDescent="0.35">
      <c r="A28" t="s">
        <v>10</v>
      </c>
      <c r="B28">
        <v>2018</v>
      </c>
      <c r="C28">
        <v>246.37</v>
      </c>
      <c r="D28">
        <v>40834.03</v>
      </c>
      <c r="G28" s="10" t="s">
        <v>2</v>
      </c>
      <c r="I28">
        <v>4.38</v>
      </c>
      <c r="J28">
        <v>171.4</v>
      </c>
      <c r="K28">
        <v>674.19</v>
      </c>
      <c r="L28">
        <v>1325.69</v>
      </c>
      <c r="M28">
        <v>2292.9</v>
      </c>
      <c r="N28">
        <v>4527.49</v>
      </c>
      <c r="O28">
        <v>7534.76</v>
      </c>
      <c r="P28">
        <v>12102.67</v>
      </c>
      <c r="Q28">
        <v>16106.19</v>
      </c>
      <c r="T28" t="s">
        <v>2</v>
      </c>
      <c r="U28" s="11"/>
      <c r="V28">
        <v>1937.71</v>
      </c>
      <c r="W28">
        <v>19126.2</v>
      </c>
      <c r="X28">
        <v>106737.12</v>
      </c>
      <c r="Y28">
        <v>222516.95</v>
      </c>
      <c r="Z28">
        <v>425062.76</v>
      </c>
      <c r="AA28">
        <v>826843</v>
      </c>
      <c r="AB28">
        <v>1235846.6200000001</v>
      </c>
      <c r="AC28">
        <v>1827869.35</v>
      </c>
      <c r="AD28">
        <v>2196481.69</v>
      </c>
    </row>
    <row r="29" spans="1:31" x14ac:dyDescent="0.35">
      <c r="A29" t="s">
        <v>9</v>
      </c>
      <c r="B29">
        <v>2018</v>
      </c>
      <c r="C29">
        <v>273.75</v>
      </c>
      <c r="D29">
        <v>51843.14</v>
      </c>
      <c r="G29" s="10" t="s">
        <v>1</v>
      </c>
      <c r="I29">
        <v>6.37</v>
      </c>
      <c r="J29">
        <v>178.05</v>
      </c>
      <c r="K29">
        <v>799.54</v>
      </c>
      <c r="L29">
        <v>1246.8399999999999</v>
      </c>
      <c r="M29">
        <v>2731.68</v>
      </c>
      <c r="N29">
        <v>5405.65</v>
      </c>
      <c r="O29">
        <v>8685.2999999999993</v>
      </c>
      <c r="P29">
        <v>13440</v>
      </c>
      <c r="Q29">
        <v>18301.509999999998</v>
      </c>
      <c r="T29" t="s">
        <v>1</v>
      </c>
      <c r="U29" s="11"/>
      <c r="V29">
        <v>2425.14</v>
      </c>
      <c r="W29">
        <v>24172.6</v>
      </c>
      <c r="X29">
        <v>133460.72</v>
      </c>
      <c r="Y29">
        <v>206462.31</v>
      </c>
      <c r="Z29">
        <v>504886.44</v>
      </c>
      <c r="AA29">
        <v>960581.66</v>
      </c>
      <c r="AB29">
        <v>1410443.01</v>
      </c>
      <c r="AC29">
        <v>1978353.23</v>
      </c>
      <c r="AD29">
        <v>2477221.61</v>
      </c>
    </row>
    <row r="30" spans="1:31" x14ac:dyDescent="0.35">
      <c r="A30" t="s">
        <v>8</v>
      </c>
      <c r="B30">
        <v>2018</v>
      </c>
      <c r="C30">
        <v>312.02</v>
      </c>
      <c r="D30">
        <v>54212.26</v>
      </c>
      <c r="G30" s="10" t="s">
        <v>12</v>
      </c>
      <c r="H30">
        <v>0</v>
      </c>
      <c r="I30">
        <v>7.2</v>
      </c>
      <c r="J30">
        <v>190.08</v>
      </c>
      <c r="K30">
        <v>781.79</v>
      </c>
      <c r="L30">
        <v>999.57</v>
      </c>
      <c r="M30">
        <v>2641.06</v>
      </c>
      <c r="N30">
        <v>5583.05</v>
      </c>
      <c r="O30">
        <v>8863.26</v>
      </c>
      <c r="P30">
        <v>13303.99</v>
      </c>
      <c r="Q30">
        <v>17893.419999999998</v>
      </c>
      <c r="T30" t="s">
        <v>12</v>
      </c>
      <c r="U30" s="11">
        <v>0</v>
      </c>
      <c r="V30">
        <v>2271.2399999999998</v>
      </c>
      <c r="W30">
        <v>27021.85</v>
      </c>
      <c r="X30">
        <v>142034.39000000001</v>
      </c>
      <c r="Y30">
        <v>151140.66</v>
      </c>
      <c r="Z30">
        <v>493663.68</v>
      </c>
      <c r="AA30">
        <v>983302.27</v>
      </c>
      <c r="AB30">
        <v>1415504.71</v>
      </c>
      <c r="AC30">
        <v>1964464.52</v>
      </c>
      <c r="AD30">
        <v>2394925.87</v>
      </c>
    </row>
    <row r="31" spans="1:31" x14ac:dyDescent="0.35">
      <c r="A31" t="s">
        <v>7</v>
      </c>
      <c r="B31">
        <v>2018</v>
      </c>
      <c r="C31">
        <v>405.87</v>
      </c>
      <c r="D31">
        <v>59835.360000000001</v>
      </c>
      <c r="G31" s="10" t="s">
        <v>11</v>
      </c>
      <c r="H31">
        <v>0</v>
      </c>
      <c r="I31">
        <v>9.36</v>
      </c>
      <c r="J31">
        <v>189.48</v>
      </c>
      <c r="K31">
        <v>733.54</v>
      </c>
      <c r="L31">
        <v>1234.5</v>
      </c>
      <c r="M31">
        <v>2539.5700000000002</v>
      </c>
      <c r="N31">
        <v>5955.2</v>
      </c>
      <c r="O31">
        <v>9415.19</v>
      </c>
      <c r="P31">
        <v>14035.84</v>
      </c>
      <c r="Q31">
        <v>18677.46</v>
      </c>
      <c r="T31" t="s">
        <v>11</v>
      </c>
      <c r="U31" s="11">
        <v>0</v>
      </c>
      <c r="V31">
        <v>2797.07</v>
      </c>
      <c r="W31">
        <v>33288.51</v>
      </c>
      <c r="X31">
        <v>152449.29</v>
      </c>
      <c r="Y31">
        <v>218391.6</v>
      </c>
      <c r="Z31">
        <v>490638.65</v>
      </c>
      <c r="AA31">
        <v>1041520.07</v>
      </c>
      <c r="AB31">
        <v>1489145.44</v>
      </c>
      <c r="AC31">
        <v>2044937.05</v>
      </c>
      <c r="AD31">
        <v>2514297.0099999998</v>
      </c>
    </row>
    <row r="32" spans="1:31" x14ac:dyDescent="0.35">
      <c r="A32" t="s">
        <v>6</v>
      </c>
      <c r="B32">
        <v>2018</v>
      </c>
      <c r="C32">
        <v>482.36</v>
      </c>
      <c r="D32">
        <v>74978.27</v>
      </c>
      <c r="G32" s="10" t="s">
        <v>10</v>
      </c>
      <c r="H32">
        <v>0</v>
      </c>
      <c r="I32">
        <v>10.35</v>
      </c>
      <c r="J32">
        <v>246.37</v>
      </c>
      <c r="K32">
        <v>754.54</v>
      </c>
      <c r="L32">
        <v>1336.93</v>
      </c>
      <c r="M32">
        <v>2807.51</v>
      </c>
      <c r="N32">
        <v>5862.75</v>
      </c>
      <c r="O32">
        <v>9335.06</v>
      </c>
      <c r="P32">
        <v>13885.14</v>
      </c>
      <c r="Q32">
        <v>18395.009999999998</v>
      </c>
      <c r="T32" t="s">
        <v>10</v>
      </c>
      <c r="U32" s="11">
        <v>0</v>
      </c>
      <c r="V32">
        <v>3098.36</v>
      </c>
      <c r="W32">
        <v>40834.03</v>
      </c>
      <c r="X32">
        <v>146566.35</v>
      </c>
      <c r="Y32">
        <v>261835</v>
      </c>
      <c r="Z32">
        <v>547373.17000000004</v>
      </c>
      <c r="AA32">
        <v>1014384.31</v>
      </c>
      <c r="AB32">
        <v>1475464.26</v>
      </c>
      <c r="AC32">
        <v>2007081.2</v>
      </c>
      <c r="AD32">
        <v>2403930.69</v>
      </c>
    </row>
    <row r="33" spans="1:30" x14ac:dyDescent="0.35">
      <c r="A33" t="s">
        <v>5</v>
      </c>
      <c r="B33">
        <v>2018</v>
      </c>
      <c r="C33">
        <v>524.94000000000005</v>
      </c>
      <c r="D33">
        <v>82232.210000000006</v>
      </c>
      <c r="G33" s="10" t="s">
        <v>9</v>
      </c>
      <c r="H33">
        <v>0.09</v>
      </c>
      <c r="I33">
        <v>11.63</v>
      </c>
      <c r="J33">
        <v>273.75</v>
      </c>
      <c r="K33">
        <v>822.29</v>
      </c>
      <c r="L33">
        <v>1497.36</v>
      </c>
      <c r="M33">
        <v>3247.82</v>
      </c>
      <c r="N33">
        <v>6288.4</v>
      </c>
      <c r="O33">
        <v>9964.61</v>
      </c>
      <c r="P33">
        <v>14435.55</v>
      </c>
      <c r="Q33">
        <v>19467.95</v>
      </c>
      <c r="T33" t="s">
        <v>9</v>
      </c>
      <c r="U33" s="11">
        <v>0.38</v>
      </c>
      <c r="V33">
        <v>3411.35</v>
      </c>
      <c r="W33">
        <v>51843.14</v>
      </c>
      <c r="X33">
        <v>146386.64000000001</v>
      </c>
      <c r="Y33">
        <v>290537.86</v>
      </c>
      <c r="Z33">
        <v>606281.14</v>
      </c>
      <c r="AA33">
        <v>1062991.76</v>
      </c>
      <c r="AB33">
        <v>1533536.44</v>
      </c>
      <c r="AC33">
        <v>2064292.41</v>
      </c>
      <c r="AD33">
        <v>2508498.09</v>
      </c>
    </row>
    <row r="34" spans="1:30" x14ac:dyDescent="0.35">
      <c r="A34" t="s">
        <v>4</v>
      </c>
      <c r="B34">
        <v>2018</v>
      </c>
      <c r="C34">
        <v>620.16999999999996</v>
      </c>
      <c r="D34">
        <v>102594.82</v>
      </c>
      <c r="G34" s="10" t="s">
        <v>8</v>
      </c>
      <c r="H34">
        <v>0.09</v>
      </c>
      <c r="I34">
        <v>16.8</v>
      </c>
      <c r="J34">
        <v>312.02</v>
      </c>
      <c r="K34">
        <v>918.35</v>
      </c>
      <c r="L34">
        <v>1618.83</v>
      </c>
      <c r="M34">
        <v>3555.55</v>
      </c>
      <c r="N34">
        <v>6579.63</v>
      </c>
      <c r="O34">
        <v>10586.02</v>
      </c>
      <c r="P34">
        <v>14963.05</v>
      </c>
      <c r="Q34">
        <v>20008.310000000001</v>
      </c>
      <c r="T34" t="s">
        <v>8</v>
      </c>
      <c r="U34" s="11">
        <v>3.09</v>
      </c>
      <c r="V34">
        <v>4156.62</v>
      </c>
      <c r="W34">
        <v>54212.26</v>
      </c>
      <c r="X34">
        <v>154504.89000000001</v>
      </c>
      <c r="Y34">
        <v>298307.61</v>
      </c>
      <c r="Z34">
        <v>639116.94999999995</v>
      </c>
      <c r="AA34">
        <v>1072792.68</v>
      </c>
      <c r="AB34">
        <v>1576536.56</v>
      </c>
      <c r="AC34">
        <v>2060735.57</v>
      </c>
      <c r="AD34">
        <v>2485472.91</v>
      </c>
    </row>
    <row r="35" spans="1:30" x14ac:dyDescent="0.35">
      <c r="A35" t="s">
        <v>3</v>
      </c>
      <c r="B35">
        <v>2019</v>
      </c>
      <c r="C35">
        <v>672.75</v>
      </c>
      <c r="D35">
        <v>109932.43</v>
      </c>
      <c r="G35" s="10" t="s">
        <v>7</v>
      </c>
      <c r="H35">
        <v>0.09</v>
      </c>
      <c r="I35">
        <v>30.98</v>
      </c>
      <c r="J35">
        <v>405.87</v>
      </c>
      <c r="K35">
        <v>955.02</v>
      </c>
      <c r="L35">
        <v>1800.14</v>
      </c>
      <c r="M35">
        <v>3654.3</v>
      </c>
      <c r="N35">
        <v>6780.8</v>
      </c>
      <c r="O35">
        <v>10555.69</v>
      </c>
      <c r="P35">
        <v>15041.75</v>
      </c>
      <c r="Q35">
        <v>19633.43</v>
      </c>
      <c r="T35" t="s">
        <v>7</v>
      </c>
      <c r="U35" s="11">
        <v>32.64</v>
      </c>
      <c r="V35">
        <v>5325.81</v>
      </c>
      <c r="W35">
        <v>59835.360000000001</v>
      </c>
      <c r="X35">
        <v>161456.56</v>
      </c>
      <c r="Y35">
        <v>329027.65999999997</v>
      </c>
      <c r="Z35">
        <v>654351.81000000006</v>
      </c>
      <c r="AA35">
        <v>1116438.1000000001</v>
      </c>
      <c r="AB35">
        <v>1579133.18</v>
      </c>
      <c r="AC35">
        <v>2063994.71</v>
      </c>
      <c r="AD35">
        <v>2489736.54</v>
      </c>
    </row>
    <row r="36" spans="1:30" x14ac:dyDescent="0.35">
      <c r="A36" t="s">
        <v>2</v>
      </c>
      <c r="B36">
        <v>2019</v>
      </c>
      <c r="C36">
        <v>674.19</v>
      </c>
      <c r="D36">
        <v>106737.12</v>
      </c>
      <c r="G36" s="10" t="s">
        <v>6</v>
      </c>
      <c r="H36">
        <v>0.1</v>
      </c>
      <c r="I36">
        <v>76.959999999999994</v>
      </c>
      <c r="J36">
        <v>482.36</v>
      </c>
      <c r="K36">
        <v>1148.3599999999999</v>
      </c>
      <c r="L36">
        <v>2071.62</v>
      </c>
      <c r="M36">
        <v>4218.6499999999996</v>
      </c>
      <c r="N36">
        <v>7305.42</v>
      </c>
      <c r="O36">
        <v>11408.79</v>
      </c>
      <c r="P36">
        <v>16584.97</v>
      </c>
      <c r="Q36">
        <v>20700.919999999998</v>
      </c>
      <c r="T36" t="s">
        <v>6</v>
      </c>
      <c r="U36" s="11">
        <v>48.57</v>
      </c>
      <c r="V36">
        <v>7057.78</v>
      </c>
      <c r="W36">
        <v>74978.27</v>
      </c>
      <c r="X36">
        <v>191359.94</v>
      </c>
      <c r="Y36">
        <v>386106.74</v>
      </c>
      <c r="Z36">
        <v>771444.98</v>
      </c>
      <c r="AA36">
        <v>1211582.51</v>
      </c>
      <c r="AB36">
        <v>1715768.34</v>
      </c>
      <c r="AC36">
        <v>2349821.46</v>
      </c>
      <c r="AD36">
        <v>2727790.68</v>
      </c>
    </row>
    <row r="37" spans="1:30" x14ac:dyDescent="0.35">
      <c r="A37" t="s">
        <v>1</v>
      </c>
      <c r="B37">
        <v>2019</v>
      </c>
      <c r="C37">
        <v>799.54</v>
      </c>
      <c r="D37">
        <v>133460.72</v>
      </c>
      <c r="G37" s="10" t="s">
        <v>5</v>
      </c>
      <c r="H37">
        <v>0.28999999999999998</v>
      </c>
      <c r="I37">
        <v>105.02</v>
      </c>
      <c r="J37">
        <v>524.94000000000005</v>
      </c>
      <c r="K37">
        <v>1218.77</v>
      </c>
      <c r="L37">
        <v>2210.23</v>
      </c>
      <c r="M37">
        <v>4186.4799999999996</v>
      </c>
      <c r="N37">
        <v>7309.45</v>
      </c>
      <c r="O37">
        <v>11235.29</v>
      </c>
      <c r="P37">
        <v>15482.02</v>
      </c>
      <c r="T37" t="s">
        <v>5</v>
      </c>
      <c r="U37" s="11">
        <v>100.46</v>
      </c>
      <c r="V37">
        <v>9669.33</v>
      </c>
      <c r="W37">
        <v>82232.210000000006</v>
      </c>
      <c r="X37">
        <v>189229.09</v>
      </c>
      <c r="Y37">
        <v>390999.15</v>
      </c>
      <c r="Z37">
        <v>768436.11</v>
      </c>
      <c r="AA37">
        <v>1190593.3899999999</v>
      </c>
      <c r="AB37">
        <v>1739740.61</v>
      </c>
      <c r="AC37">
        <v>2155187.4</v>
      </c>
    </row>
    <row r="38" spans="1:30" x14ac:dyDescent="0.35">
      <c r="A38" t="s">
        <v>12</v>
      </c>
      <c r="B38">
        <v>2019</v>
      </c>
      <c r="C38">
        <v>781.79</v>
      </c>
      <c r="D38">
        <v>142034.39000000001</v>
      </c>
      <c r="G38" s="10" t="s">
        <v>4</v>
      </c>
      <c r="H38">
        <v>1.99</v>
      </c>
      <c r="I38">
        <v>145.63999999999999</v>
      </c>
      <c r="J38">
        <v>620.16999999999996</v>
      </c>
      <c r="K38">
        <v>1308.4000000000001</v>
      </c>
      <c r="L38">
        <v>2234.16</v>
      </c>
      <c r="M38">
        <v>4566.3</v>
      </c>
      <c r="N38">
        <v>7829.49</v>
      </c>
      <c r="O38">
        <v>12020.23</v>
      </c>
      <c r="P38">
        <v>16730.009999999998</v>
      </c>
      <c r="T38" t="s">
        <v>4</v>
      </c>
      <c r="U38" s="11">
        <v>707.93</v>
      </c>
      <c r="V38">
        <v>13174.24</v>
      </c>
      <c r="W38">
        <v>102594.82</v>
      </c>
      <c r="X38">
        <v>202520.76</v>
      </c>
      <c r="Y38">
        <v>416176.21</v>
      </c>
      <c r="Z38">
        <v>826848.22</v>
      </c>
      <c r="AA38">
        <v>1282055.01</v>
      </c>
      <c r="AB38">
        <v>1822949.42</v>
      </c>
      <c r="AC38">
        <v>2324699.91</v>
      </c>
    </row>
    <row r="39" spans="1:30" x14ac:dyDescent="0.35">
      <c r="A39" t="s">
        <v>11</v>
      </c>
      <c r="B39">
        <v>2019</v>
      </c>
      <c r="C39">
        <v>733.54</v>
      </c>
      <c r="D39">
        <v>152449.29</v>
      </c>
      <c r="G39" s="10"/>
    </row>
    <row r="40" spans="1:30" x14ac:dyDescent="0.35">
      <c r="A40" t="s">
        <v>10</v>
      </c>
      <c r="B40">
        <v>2019</v>
      </c>
      <c r="C40">
        <v>754.54</v>
      </c>
      <c r="D40">
        <v>146566.35</v>
      </c>
    </row>
    <row r="41" spans="1:30" x14ac:dyDescent="0.35">
      <c r="A41" t="s">
        <v>9</v>
      </c>
      <c r="B41">
        <v>2019</v>
      </c>
      <c r="C41">
        <v>822.29</v>
      </c>
      <c r="D41">
        <v>146386.64000000001</v>
      </c>
    </row>
    <row r="42" spans="1:30" x14ac:dyDescent="0.35">
      <c r="A42" t="s">
        <v>8</v>
      </c>
      <c r="B42">
        <v>2019</v>
      </c>
      <c r="C42">
        <v>918.35</v>
      </c>
      <c r="D42">
        <v>154504.89000000001</v>
      </c>
    </row>
    <row r="43" spans="1:30" x14ac:dyDescent="0.35">
      <c r="A43" t="s">
        <v>7</v>
      </c>
      <c r="B43">
        <v>2019</v>
      </c>
      <c r="C43">
        <v>955.02</v>
      </c>
      <c r="D43">
        <v>161456.56</v>
      </c>
    </row>
    <row r="44" spans="1:30" x14ac:dyDescent="0.35">
      <c r="A44" t="s">
        <v>6</v>
      </c>
      <c r="B44">
        <v>2019</v>
      </c>
      <c r="C44">
        <v>1148.3599999999999</v>
      </c>
      <c r="D44">
        <v>191359.94</v>
      </c>
    </row>
    <row r="45" spans="1:30" x14ac:dyDescent="0.35">
      <c r="A45" t="s">
        <v>5</v>
      </c>
      <c r="B45">
        <v>2019</v>
      </c>
      <c r="C45">
        <v>1218.77</v>
      </c>
      <c r="D45">
        <v>189229.09</v>
      </c>
    </row>
    <row r="46" spans="1:30" x14ac:dyDescent="0.35">
      <c r="A46" t="s">
        <v>4</v>
      </c>
      <c r="B46">
        <v>2019</v>
      </c>
      <c r="C46">
        <v>1308.4000000000001</v>
      </c>
      <c r="D46">
        <v>202520.76</v>
      </c>
    </row>
    <row r="47" spans="1:30" x14ac:dyDescent="0.35">
      <c r="A47" t="s">
        <v>3</v>
      </c>
      <c r="B47">
        <v>2020</v>
      </c>
      <c r="C47">
        <v>1305.02</v>
      </c>
      <c r="D47">
        <v>216242.97</v>
      </c>
    </row>
    <row r="48" spans="1:30" x14ac:dyDescent="0.35">
      <c r="A48" t="s">
        <v>2</v>
      </c>
      <c r="B48">
        <v>2020</v>
      </c>
      <c r="C48">
        <v>1325.69</v>
      </c>
      <c r="D48">
        <v>222516.95</v>
      </c>
    </row>
    <row r="49" spans="1:4" x14ac:dyDescent="0.35">
      <c r="A49" t="s">
        <v>1</v>
      </c>
      <c r="B49">
        <v>2020</v>
      </c>
      <c r="C49">
        <v>1246.8399999999999</v>
      </c>
      <c r="D49">
        <v>206462.31</v>
      </c>
    </row>
    <row r="50" spans="1:4" x14ac:dyDescent="0.35">
      <c r="A50" t="s">
        <v>12</v>
      </c>
      <c r="B50">
        <v>2020</v>
      </c>
      <c r="C50">
        <v>999.57</v>
      </c>
      <c r="D50">
        <v>151140.66</v>
      </c>
    </row>
    <row r="51" spans="1:4" x14ac:dyDescent="0.35">
      <c r="A51" t="s">
        <v>11</v>
      </c>
      <c r="B51">
        <v>2020</v>
      </c>
      <c r="C51">
        <v>1234.5</v>
      </c>
      <c r="D51">
        <v>218391.6</v>
      </c>
    </row>
    <row r="52" spans="1:4" x14ac:dyDescent="0.35">
      <c r="A52" t="s">
        <v>10</v>
      </c>
      <c r="B52">
        <v>2020</v>
      </c>
      <c r="C52">
        <v>1336.93</v>
      </c>
      <c r="D52">
        <v>261835</v>
      </c>
    </row>
    <row r="53" spans="1:4" x14ac:dyDescent="0.35">
      <c r="A53" t="s">
        <v>9</v>
      </c>
      <c r="B53">
        <v>2020</v>
      </c>
      <c r="C53">
        <v>1497.36</v>
      </c>
      <c r="D53">
        <v>290537.86</v>
      </c>
    </row>
    <row r="54" spans="1:4" x14ac:dyDescent="0.35">
      <c r="A54" t="s">
        <v>8</v>
      </c>
      <c r="B54">
        <v>2020</v>
      </c>
      <c r="C54">
        <v>1618.83</v>
      </c>
      <c r="D54">
        <v>298307.61</v>
      </c>
    </row>
    <row r="55" spans="1:4" x14ac:dyDescent="0.35">
      <c r="A55" t="s">
        <v>7</v>
      </c>
      <c r="B55">
        <v>2020</v>
      </c>
      <c r="C55">
        <v>1800.14</v>
      </c>
      <c r="D55">
        <v>329027.65999999997</v>
      </c>
    </row>
    <row r="56" spans="1:4" x14ac:dyDescent="0.35">
      <c r="A56" t="s">
        <v>6</v>
      </c>
      <c r="B56">
        <v>2020</v>
      </c>
      <c r="C56">
        <v>2071.62</v>
      </c>
      <c r="D56">
        <v>386106.74</v>
      </c>
    </row>
    <row r="57" spans="1:4" x14ac:dyDescent="0.35">
      <c r="A57" t="s">
        <v>5</v>
      </c>
      <c r="B57">
        <v>2020</v>
      </c>
      <c r="C57">
        <v>2210.23</v>
      </c>
      <c r="D57">
        <v>390999.15</v>
      </c>
    </row>
    <row r="58" spans="1:4" x14ac:dyDescent="0.35">
      <c r="A58" t="s">
        <v>4</v>
      </c>
      <c r="B58">
        <v>2020</v>
      </c>
      <c r="C58">
        <v>2234.16</v>
      </c>
      <c r="D58">
        <v>416176.21</v>
      </c>
    </row>
    <row r="59" spans="1:4" x14ac:dyDescent="0.35">
      <c r="A59" t="s">
        <v>3</v>
      </c>
      <c r="B59">
        <v>2021</v>
      </c>
      <c r="C59">
        <v>2302.73</v>
      </c>
      <c r="D59">
        <v>431181.89</v>
      </c>
    </row>
    <row r="60" spans="1:4" x14ac:dyDescent="0.35">
      <c r="A60" t="s">
        <v>2</v>
      </c>
      <c r="B60">
        <v>2021</v>
      </c>
      <c r="C60">
        <v>2292.9</v>
      </c>
      <c r="D60">
        <v>425062.76</v>
      </c>
    </row>
    <row r="61" spans="1:4" x14ac:dyDescent="0.35">
      <c r="A61" t="s">
        <v>1</v>
      </c>
      <c r="B61">
        <v>2021</v>
      </c>
      <c r="C61">
        <v>2731.68</v>
      </c>
      <c r="D61">
        <v>504886.44</v>
      </c>
    </row>
    <row r="62" spans="1:4" x14ac:dyDescent="0.35">
      <c r="A62" t="s">
        <v>12</v>
      </c>
      <c r="B62">
        <v>2021</v>
      </c>
      <c r="C62">
        <v>2641.06</v>
      </c>
      <c r="D62">
        <v>493663.68</v>
      </c>
    </row>
    <row r="63" spans="1:4" x14ac:dyDescent="0.35">
      <c r="A63" t="s">
        <v>11</v>
      </c>
      <c r="B63">
        <v>2021</v>
      </c>
      <c r="C63">
        <v>2539.5700000000002</v>
      </c>
      <c r="D63">
        <v>490638.65</v>
      </c>
    </row>
    <row r="64" spans="1:4" x14ac:dyDescent="0.35">
      <c r="A64" t="s">
        <v>10</v>
      </c>
      <c r="B64">
        <v>2021</v>
      </c>
      <c r="C64">
        <v>2807.51</v>
      </c>
      <c r="D64">
        <v>547373.17000000004</v>
      </c>
    </row>
    <row r="65" spans="1:4" x14ac:dyDescent="0.35">
      <c r="A65" t="s">
        <v>9</v>
      </c>
      <c r="B65">
        <v>2021</v>
      </c>
      <c r="C65">
        <v>3247.82</v>
      </c>
      <c r="D65">
        <v>606281.14</v>
      </c>
    </row>
    <row r="66" spans="1:4" x14ac:dyDescent="0.35">
      <c r="A66" t="s">
        <v>8</v>
      </c>
      <c r="B66">
        <v>2021</v>
      </c>
      <c r="C66">
        <v>3555.55</v>
      </c>
      <c r="D66">
        <v>639116.94999999995</v>
      </c>
    </row>
    <row r="67" spans="1:4" x14ac:dyDescent="0.35">
      <c r="A67" t="s">
        <v>7</v>
      </c>
      <c r="B67">
        <v>2021</v>
      </c>
      <c r="C67">
        <v>3654.3</v>
      </c>
      <c r="D67">
        <v>654351.81000000006</v>
      </c>
    </row>
    <row r="68" spans="1:4" x14ac:dyDescent="0.35">
      <c r="A68" t="s">
        <v>6</v>
      </c>
      <c r="B68">
        <v>2021</v>
      </c>
      <c r="C68">
        <v>4218.6499999999996</v>
      </c>
      <c r="D68">
        <v>771444.98</v>
      </c>
    </row>
    <row r="69" spans="1:4" x14ac:dyDescent="0.35">
      <c r="A69" t="s">
        <v>5</v>
      </c>
      <c r="B69">
        <v>2021</v>
      </c>
      <c r="C69">
        <v>4186.4799999999996</v>
      </c>
      <c r="D69">
        <v>768436.11</v>
      </c>
    </row>
    <row r="70" spans="1:4" x14ac:dyDescent="0.35">
      <c r="A70" t="s">
        <v>4</v>
      </c>
      <c r="B70">
        <v>2021</v>
      </c>
      <c r="C70">
        <v>4566.3</v>
      </c>
      <c r="D70">
        <v>826848.22</v>
      </c>
    </row>
    <row r="71" spans="1:4" x14ac:dyDescent="0.35">
      <c r="A71" t="s">
        <v>3</v>
      </c>
      <c r="B71">
        <v>2022</v>
      </c>
      <c r="C71">
        <v>4617.1499999999996</v>
      </c>
      <c r="D71">
        <v>831993.11</v>
      </c>
    </row>
    <row r="72" spans="1:4" x14ac:dyDescent="0.35">
      <c r="A72" t="s">
        <v>2</v>
      </c>
      <c r="B72">
        <v>2022</v>
      </c>
      <c r="C72">
        <v>4527.49</v>
      </c>
      <c r="D72">
        <v>826843</v>
      </c>
    </row>
    <row r="73" spans="1:4" x14ac:dyDescent="0.35">
      <c r="A73" t="s">
        <v>1</v>
      </c>
      <c r="B73">
        <v>2022</v>
      </c>
      <c r="C73">
        <v>5405.65</v>
      </c>
      <c r="D73">
        <v>960581.66</v>
      </c>
    </row>
    <row r="74" spans="1:4" x14ac:dyDescent="0.35">
      <c r="A74" t="s">
        <v>12</v>
      </c>
      <c r="B74">
        <v>2022</v>
      </c>
      <c r="C74">
        <v>5583.05</v>
      </c>
      <c r="D74">
        <v>983302.27</v>
      </c>
    </row>
    <row r="75" spans="1:4" x14ac:dyDescent="0.35">
      <c r="A75" t="s">
        <v>11</v>
      </c>
      <c r="B75">
        <v>2022</v>
      </c>
      <c r="C75">
        <v>5955.2</v>
      </c>
      <c r="D75">
        <v>1041520.07</v>
      </c>
    </row>
    <row r="76" spans="1:4" x14ac:dyDescent="0.35">
      <c r="A76" t="s">
        <v>10</v>
      </c>
      <c r="B76">
        <v>2022</v>
      </c>
      <c r="C76">
        <v>5862.75</v>
      </c>
      <c r="D76">
        <v>1014384.31</v>
      </c>
    </row>
    <row r="77" spans="1:4" x14ac:dyDescent="0.35">
      <c r="A77" t="s">
        <v>9</v>
      </c>
      <c r="B77">
        <v>2022</v>
      </c>
      <c r="C77">
        <v>6288.4</v>
      </c>
      <c r="D77">
        <v>1062991.76</v>
      </c>
    </row>
    <row r="78" spans="1:4" x14ac:dyDescent="0.35">
      <c r="A78" t="s">
        <v>8</v>
      </c>
      <c r="B78">
        <v>2022</v>
      </c>
      <c r="C78">
        <v>6579.63</v>
      </c>
      <c r="D78">
        <v>1072792.68</v>
      </c>
    </row>
    <row r="79" spans="1:4" x14ac:dyDescent="0.35">
      <c r="A79" t="s">
        <v>7</v>
      </c>
      <c r="B79">
        <v>2022</v>
      </c>
      <c r="C79">
        <v>6780.8</v>
      </c>
      <c r="D79">
        <v>1116438.1000000001</v>
      </c>
    </row>
    <row r="80" spans="1:4" x14ac:dyDescent="0.35">
      <c r="A80" t="s">
        <v>6</v>
      </c>
      <c r="B80">
        <v>2022</v>
      </c>
      <c r="C80">
        <v>7305.42</v>
      </c>
      <c r="D80">
        <v>1211582.51</v>
      </c>
    </row>
    <row r="81" spans="1:4" x14ac:dyDescent="0.35">
      <c r="A81" t="s">
        <v>5</v>
      </c>
      <c r="B81">
        <v>2022</v>
      </c>
      <c r="C81">
        <v>7309.45</v>
      </c>
      <c r="D81">
        <v>1190593.3899999999</v>
      </c>
    </row>
    <row r="82" spans="1:4" x14ac:dyDescent="0.35">
      <c r="A82" t="s">
        <v>4</v>
      </c>
      <c r="B82">
        <v>2022</v>
      </c>
      <c r="C82">
        <v>7829.49</v>
      </c>
      <c r="D82">
        <v>1282055.01</v>
      </c>
    </row>
    <row r="83" spans="1:4" x14ac:dyDescent="0.35">
      <c r="A83" t="s">
        <v>3</v>
      </c>
      <c r="B83">
        <v>2023</v>
      </c>
      <c r="C83">
        <v>8036.89</v>
      </c>
      <c r="D83">
        <v>1298726.6200000001</v>
      </c>
    </row>
    <row r="84" spans="1:4" x14ac:dyDescent="0.35">
      <c r="A84" t="s">
        <v>2</v>
      </c>
      <c r="B84">
        <v>2023</v>
      </c>
      <c r="C84">
        <v>7534.76</v>
      </c>
      <c r="D84">
        <v>1235846.6200000001</v>
      </c>
    </row>
    <row r="85" spans="1:4" x14ac:dyDescent="0.35">
      <c r="A85" t="s">
        <v>1</v>
      </c>
      <c r="B85">
        <v>2023</v>
      </c>
      <c r="C85">
        <v>8685.2999999999993</v>
      </c>
      <c r="D85">
        <v>1410443.01</v>
      </c>
    </row>
    <row r="86" spans="1:4" x14ac:dyDescent="0.35">
      <c r="A86" t="s">
        <v>12</v>
      </c>
      <c r="B86">
        <v>2023</v>
      </c>
      <c r="C86">
        <v>8863.26</v>
      </c>
      <c r="D86">
        <v>1415504.71</v>
      </c>
    </row>
    <row r="87" spans="1:4" x14ac:dyDescent="0.35">
      <c r="A87" t="s">
        <v>11</v>
      </c>
      <c r="B87">
        <v>2023</v>
      </c>
      <c r="C87">
        <v>9415.19</v>
      </c>
      <c r="D87">
        <v>1489145.44</v>
      </c>
    </row>
    <row r="88" spans="1:4" x14ac:dyDescent="0.35">
      <c r="A88" t="s">
        <v>10</v>
      </c>
      <c r="B88">
        <v>2023</v>
      </c>
      <c r="C88">
        <v>9335.06</v>
      </c>
      <c r="D88">
        <v>1475464.26</v>
      </c>
    </row>
    <row r="89" spans="1:4" x14ac:dyDescent="0.35">
      <c r="A89" t="s">
        <v>9</v>
      </c>
      <c r="B89">
        <v>2023</v>
      </c>
      <c r="C89">
        <v>9964.61</v>
      </c>
      <c r="D89">
        <v>1533536.44</v>
      </c>
    </row>
    <row r="90" spans="1:4" x14ac:dyDescent="0.35">
      <c r="A90" t="s">
        <v>8</v>
      </c>
      <c r="B90">
        <v>2023</v>
      </c>
      <c r="C90">
        <v>10586.02</v>
      </c>
      <c r="D90">
        <v>1576536.56</v>
      </c>
    </row>
    <row r="91" spans="1:4" x14ac:dyDescent="0.35">
      <c r="A91" t="s">
        <v>7</v>
      </c>
      <c r="B91">
        <v>2023</v>
      </c>
      <c r="C91">
        <v>10555.69</v>
      </c>
      <c r="D91">
        <v>1579133.18</v>
      </c>
    </row>
    <row r="92" spans="1:4" x14ac:dyDescent="0.35">
      <c r="A92" t="s">
        <v>6</v>
      </c>
      <c r="B92">
        <v>2023</v>
      </c>
      <c r="C92">
        <v>11408.79</v>
      </c>
      <c r="D92">
        <v>1715768.34</v>
      </c>
    </row>
    <row r="93" spans="1:4" x14ac:dyDescent="0.35">
      <c r="A93" t="s">
        <v>5</v>
      </c>
      <c r="B93">
        <v>2023</v>
      </c>
      <c r="C93">
        <v>11235.29</v>
      </c>
      <c r="D93">
        <v>1739740.61</v>
      </c>
    </row>
    <row r="94" spans="1:4" x14ac:dyDescent="0.35">
      <c r="A94" t="s">
        <v>4</v>
      </c>
      <c r="B94">
        <v>2023</v>
      </c>
      <c r="C94">
        <v>12020.23</v>
      </c>
      <c r="D94">
        <v>1822949.42</v>
      </c>
    </row>
    <row r="95" spans="1:4" x14ac:dyDescent="0.35">
      <c r="A95" t="s">
        <v>3</v>
      </c>
      <c r="B95">
        <v>2024</v>
      </c>
      <c r="C95">
        <v>12203.02</v>
      </c>
      <c r="D95">
        <v>1841083.97</v>
      </c>
    </row>
    <row r="96" spans="1:4" x14ac:dyDescent="0.35">
      <c r="A96" t="s">
        <v>2</v>
      </c>
      <c r="B96">
        <v>2024</v>
      </c>
      <c r="C96">
        <v>12102.67</v>
      </c>
      <c r="D96">
        <v>1827869.35</v>
      </c>
    </row>
    <row r="97" spans="1:5" x14ac:dyDescent="0.35">
      <c r="A97" t="s">
        <v>1</v>
      </c>
      <c r="B97">
        <v>2024</v>
      </c>
      <c r="C97">
        <v>13440</v>
      </c>
      <c r="D97">
        <v>1978353.23</v>
      </c>
    </row>
    <row r="98" spans="1:5" x14ac:dyDescent="0.35">
      <c r="A98" t="s">
        <v>12</v>
      </c>
      <c r="B98">
        <v>2024</v>
      </c>
      <c r="C98">
        <v>13303.99</v>
      </c>
      <c r="D98">
        <v>1964464.52</v>
      </c>
    </row>
    <row r="99" spans="1:5" x14ac:dyDescent="0.35">
      <c r="A99" t="s">
        <v>11</v>
      </c>
      <c r="B99">
        <v>2024</v>
      </c>
      <c r="C99">
        <v>14035.84</v>
      </c>
      <c r="D99">
        <v>2044937.05</v>
      </c>
    </row>
    <row r="100" spans="1:5" x14ac:dyDescent="0.35">
      <c r="A100" t="s">
        <v>10</v>
      </c>
      <c r="B100">
        <v>2024</v>
      </c>
      <c r="C100">
        <v>13885.14</v>
      </c>
      <c r="D100">
        <v>2007081.2</v>
      </c>
    </row>
    <row r="101" spans="1:5" x14ac:dyDescent="0.35">
      <c r="A101" t="s">
        <v>9</v>
      </c>
      <c r="B101">
        <v>2024</v>
      </c>
      <c r="C101">
        <v>14435.55</v>
      </c>
      <c r="D101">
        <v>2064292.41</v>
      </c>
      <c r="E101" s="26"/>
    </row>
    <row r="102" spans="1:5" x14ac:dyDescent="0.35">
      <c r="A102" t="s">
        <v>8</v>
      </c>
      <c r="B102">
        <v>2024</v>
      </c>
      <c r="C102">
        <v>14963.05</v>
      </c>
      <c r="D102">
        <v>2060735.57</v>
      </c>
      <c r="E102" s="26"/>
    </row>
    <row r="103" spans="1:5" x14ac:dyDescent="0.35">
      <c r="A103" t="s">
        <v>7</v>
      </c>
      <c r="B103">
        <v>2024</v>
      </c>
      <c r="C103">
        <v>15041.75</v>
      </c>
      <c r="D103">
        <v>2063994.71</v>
      </c>
      <c r="E103" s="26"/>
    </row>
    <row r="104" spans="1:5" x14ac:dyDescent="0.35">
      <c r="A104" t="s">
        <v>6</v>
      </c>
      <c r="B104">
        <v>2024</v>
      </c>
      <c r="C104">
        <v>16584.97</v>
      </c>
      <c r="D104">
        <v>2349821.46</v>
      </c>
      <c r="E104" s="26"/>
    </row>
    <row r="105" spans="1:5" x14ac:dyDescent="0.35">
      <c r="A105" t="s">
        <v>5</v>
      </c>
      <c r="B105">
        <v>2024</v>
      </c>
      <c r="C105">
        <v>15482.02</v>
      </c>
      <c r="D105">
        <v>2155187.4</v>
      </c>
    </row>
    <row r="106" spans="1:5" x14ac:dyDescent="0.35">
      <c r="A106" t="s">
        <v>4</v>
      </c>
      <c r="B106">
        <v>2024</v>
      </c>
      <c r="C106">
        <v>16730.009999999998</v>
      </c>
      <c r="D106">
        <v>2324699.91</v>
      </c>
    </row>
    <row r="107" spans="1:5" x14ac:dyDescent="0.35">
      <c r="A107" t="s">
        <v>3</v>
      </c>
      <c r="B107">
        <v>2025</v>
      </c>
      <c r="C107">
        <v>16996</v>
      </c>
      <c r="D107">
        <v>2348037.1200000001</v>
      </c>
    </row>
    <row r="108" spans="1:5" x14ac:dyDescent="0.35">
      <c r="A108" t="s">
        <v>2</v>
      </c>
      <c r="B108">
        <v>2025</v>
      </c>
      <c r="C108">
        <v>16106.19</v>
      </c>
      <c r="D108">
        <v>2196481.69</v>
      </c>
    </row>
    <row r="109" spans="1:5" x14ac:dyDescent="0.35">
      <c r="A109" t="s">
        <v>1</v>
      </c>
      <c r="B109">
        <v>2025</v>
      </c>
      <c r="C109">
        <v>18301.509999999998</v>
      </c>
      <c r="D109">
        <v>2477221.61</v>
      </c>
    </row>
    <row r="110" spans="1:5" x14ac:dyDescent="0.35">
      <c r="A110" t="s">
        <v>12</v>
      </c>
      <c r="B110">
        <v>2025</v>
      </c>
      <c r="C110">
        <v>17893.419999999998</v>
      </c>
      <c r="D110">
        <v>2394925.87</v>
      </c>
    </row>
    <row r="111" spans="1:5" x14ac:dyDescent="0.35">
      <c r="A111" t="s">
        <v>11</v>
      </c>
      <c r="B111">
        <v>2025</v>
      </c>
      <c r="C111">
        <v>18677.46</v>
      </c>
      <c r="D111">
        <v>2514297.0099999998</v>
      </c>
    </row>
    <row r="112" spans="1:5" x14ac:dyDescent="0.35">
      <c r="A112" t="s">
        <v>10</v>
      </c>
      <c r="B112">
        <v>2025</v>
      </c>
      <c r="C112">
        <v>18395.009999999998</v>
      </c>
      <c r="D112">
        <v>2403930.69</v>
      </c>
    </row>
    <row r="113" spans="1:4" x14ac:dyDescent="0.35">
      <c r="A113" t="s">
        <v>9</v>
      </c>
      <c r="B113">
        <v>2025</v>
      </c>
      <c r="C113" s="1">
        <v>19467.95</v>
      </c>
      <c r="D113">
        <v>2508498.09</v>
      </c>
    </row>
    <row r="114" spans="1:4" x14ac:dyDescent="0.35">
      <c r="A114" t="s">
        <v>8</v>
      </c>
      <c r="B114">
        <v>2025</v>
      </c>
      <c r="C114" s="1">
        <v>20008.310000000001</v>
      </c>
      <c r="D114">
        <v>2485472.91</v>
      </c>
    </row>
    <row r="115" spans="1:4" x14ac:dyDescent="0.35">
      <c r="A115" t="s">
        <v>7</v>
      </c>
      <c r="B115">
        <v>2025</v>
      </c>
      <c r="C115" s="1">
        <v>19633.43</v>
      </c>
      <c r="D115">
        <v>2489736.54</v>
      </c>
    </row>
    <row r="116" spans="1:4" x14ac:dyDescent="0.35">
      <c r="A116" t="s">
        <v>6</v>
      </c>
      <c r="B116">
        <v>2025</v>
      </c>
      <c r="C116" s="1">
        <v>20700.919999999998</v>
      </c>
      <c r="D116">
        <v>2727790.68</v>
      </c>
    </row>
  </sheetData>
  <sortState xmlns:xlrd2="http://schemas.microsoft.com/office/spreadsheetml/2017/richdata2" ref="A2:D116">
    <sortCondition ref="B2:B116"/>
    <sortCondition ref="A2:A116" customList="January,February,March,April,May,June,July,August,September,October,November,December"/>
  </sortState>
  <phoneticPr fontId="2" type="noConversion"/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516F-8F58-4175-8735-2DADC41A41A2}">
  <dimension ref="A1:H16"/>
  <sheetViews>
    <sheetView zoomScale="70" zoomScaleNormal="70" workbookViewId="0">
      <selection sqref="A1:C16"/>
    </sheetView>
  </sheetViews>
  <sheetFormatPr defaultRowHeight="14.5" x14ac:dyDescent="0.35"/>
  <cols>
    <col min="1" max="1" width="34.08984375" customWidth="1"/>
    <col min="2" max="2" width="28.81640625" customWidth="1"/>
    <col min="3" max="3" width="24.1796875" customWidth="1"/>
    <col min="4" max="4" width="17.7265625" customWidth="1"/>
  </cols>
  <sheetData>
    <row r="1" spans="1:8" x14ac:dyDescent="0.35">
      <c r="A1" s="5" t="s">
        <v>163</v>
      </c>
      <c r="B1" s="5" t="s">
        <v>70</v>
      </c>
      <c r="C1" s="5" t="s">
        <v>155</v>
      </c>
    </row>
    <row r="2" spans="1:8" x14ac:dyDescent="0.35">
      <c r="A2" s="11" t="s">
        <v>20</v>
      </c>
      <c r="B2" s="13">
        <f>SUM('UPI_ NATIONAL_MONTHLY'!C2:C13)</f>
        <v>17.86</v>
      </c>
      <c r="C2" s="13">
        <f>SUM('UPI_ NATIONAL_MONTHLY'!D2:D13)</f>
        <v>6952.1399999999994</v>
      </c>
    </row>
    <row r="3" spans="1:8" x14ac:dyDescent="0.35">
      <c r="A3" s="11" t="s">
        <v>21</v>
      </c>
      <c r="B3" s="13">
        <f>SUM('UPI_ NATIONAL_MONTHLY'!C14:C25)</f>
        <v>915.22</v>
      </c>
      <c r="C3" s="13">
        <f>SUM('UPI_ NATIONAL_MONTHLY'!D14:D25)</f>
        <v>109831.79999999999</v>
      </c>
    </row>
    <row r="4" spans="1:8" x14ac:dyDescent="0.35">
      <c r="A4" s="11" t="s">
        <v>22</v>
      </c>
      <c r="B4" s="13">
        <f>SUM('UPI_ NATIONAL_MONTHLY'!C26:C37)</f>
        <v>5391.52</v>
      </c>
      <c r="C4" s="13">
        <f>SUM('UPI_ NATIONAL_MONTHLY'!D26:D37)</f>
        <v>876970.72000000009</v>
      </c>
    </row>
    <row r="5" spans="1:8" x14ac:dyDescent="0.35">
      <c r="A5" s="11" t="s">
        <v>23</v>
      </c>
      <c r="B5" s="13">
        <f>SUM('UPI_ NATIONAL_MONTHLY'!C38:C49)</f>
        <v>12518.61</v>
      </c>
      <c r="C5" s="13">
        <f>SUM('UPI_ NATIONAL_MONTHLY'!D38:D49)</f>
        <v>2131730.14</v>
      </c>
    </row>
    <row r="6" spans="1:8" x14ac:dyDescent="0.35">
      <c r="A6" s="11" t="s">
        <v>24</v>
      </c>
      <c r="B6" s="13">
        <f>SUM('UPI_ NATIONAL_MONTHLY'!C50:C61)</f>
        <v>22330.65</v>
      </c>
      <c r="C6" s="13">
        <f>SUM('UPI_ NATIONAL_MONTHLY'!D50:D61)</f>
        <v>4103653.5799999996</v>
      </c>
    </row>
    <row r="7" spans="1:8" x14ac:dyDescent="0.35">
      <c r="A7" s="11" t="s">
        <v>25</v>
      </c>
      <c r="B7" s="13">
        <f>SUM('UPI_ NATIONAL_MONTHLY'!C62:C73)</f>
        <v>45967.53</v>
      </c>
      <c r="C7" s="13">
        <f>SUM('UPI_ NATIONAL_MONTHLY'!D62:D73)</f>
        <v>8417572.4800000004</v>
      </c>
    </row>
    <row r="8" spans="1:8" x14ac:dyDescent="0.35">
      <c r="A8" s="11" t="s">
        <v>26</v>
      </c>
      <c r="B8" s="13">
        <f>SUM('UPI_ NATIONAL_MONTHLY'!C74:C85)</f>
        <v>83751.14</v>
      </c>
      <c r="C8" s="13">
        <f>SUM('UPI_ NATIONAL_MONTHLY'!D74:D85)</f>
        <v>13920676.35</v>
      </c>
    </row>
    <row r="9" spans="1:8" x14ac:dyDescent="0.35">
      <c r="A9" s="11" t="s">
        <v>27</v>
      </c>
      <c r="B9" s="13">
        <f>SUM('UPI_ NATIONAL_MONTHLY'!C86:C97)</f>
        <v>131129.83000000002</v>
      </c>
      <c r="C9" s="13">
        <f>SUM('UPI_ NATIONAL_MONTHLY'!D86:D97)</f>
        <v>19995085.510000002</v>
      </c>
    </row>
    <row r="10" spans="1:8" x14ac:dyDescent="0.35">
      <c r="A10" s="11" t="s">
        <v>28</v>
      </c>
      <c r="B10" s="13">
        <f>SUM('UPI_ NATIONAL_MONTHLY'!C98:C109)</f>
        <v>185866.02000000002</v>
      </c>
      <c r="C10" s="13">
        <f>SUM('UPI_ NATIONAL_MONTHLY'!D98:D109)</f>
        <v>26056954.650000006</v>
      </c>
    </row>
    <row r="11" spans="1:8" x14ac:dyDescent="0.35">
      <c r="A11" s="11"/>
      <c r="B11" s="13"/>
      <c r="C11" s="13"/>
    </row>
    <row r="12" spans="1:8" x14ac:dyDescent="0.35">
      <c r="A12" s="5" t="s">
        <v>67</v>
      </c>
      <c r="B12" s="15">
        <f>B10-B2</f>
        <v>185848.16000000003</v>
      </c>
      <c r="C12" s="15">
        <f>C10-C2</f>
        <v>26050002.510000005</v>
      </c>
    </row>
    <row r="13" spans="1:8" x14ac:dyDescent="0.35">
      <c r="A13" s="5" t="s">
        <v>68</v>
      </c>
      <c r="B13" s="15">
        <f>B10/B2</f>
        <v>10406.832026875702</v>
      </c>
      <c r="C13" s="15">
        <f>C10/C2</f>
        <v>3748.0480326920933</v>
      </c>
    </row>
    <row r="14" spans="1:8" x14ac:dyDescent="0.35">
      <c r="A14" s="5" t="s">
        <v>97</v>
      </c>
      <c r="B14" s="15">
        <f>(B13^(1/9)-1)*100</f>
        <v>179.49157896719487</v>
      </c>
      <c r="C14" s="15">
        <f>(C13^(1/9)-1)*100</f>
        <v>149.5108644644759</v>
      </c>
      <c r="H14" t="s">
        <v>69</v>
      </c>
    </row>
    <row r="16" spans="1:8" x14ac:dyDescent="0.35">
      <c r="A16" t="s">
        <v>162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BFCD-AE09-4F24-8857-117C93098272}">
  <dimension ref="C3:P80"/>
  <sheetViews>
    <sheetView topLeftCell="A7" zoomScale="40" zoomScaleNormal="40" workbookViewId="0">
      <selection activeCell="M72" sqref="M72:N80"/>
    </sheetView>
  </sheetViews>
  <sheetFormatPr defaultRowHeight="14.5" x14ac:dyDescent="0.35"/>
  <cols>
    <col min="3" max="3" width="23.81640625" customWidth="1"/>
    <col min="4" max="4" width="17.6328125" customWidth="1"/>
    <col min="5" max="5" width="19.08984375" customWidth="1"/>
    <col min="6" max="6" width="15.26953125" customWidth="1"/>
    <col min="7" max="7" width="19.453125" customWidth="1"/>
    <col min="8" max="8" width="14" customWidth="1"/>
    <col min="9" max="9" width="19.1796875" customWidth="1"/>
    <col min="10" max="10" width="12.08984375" customWidth="1"/>
    <col min="13" max="13" width="17.81640625" customWidth="1"/>
    <col min="14" max="14" width="60" customWidth="1"/>
    <col min="15" max="15" width="77.6328125" customWidth="1"/>
    <col min="16" max="16" width="50.08984375" customWidth="1"/>
    <col min="17" max="17" width="34.90625" customWidth="1"/>
    <col min="18" max="18" width="49.08984375" customWidth="1"/>
  </cols>
  <sheetData>
    <row r="3" spans="3:14" x14ac:dyDescent="0.35">
      <c r="F3" t="s">
        <v>72</v>
      </c>
    </row>
    <row r="4" spans="3:14" x14ac:dyDescent="0.35">
      <c r="C4" t="s">
        <v>154</v>
      </c>
      <c r="D4" t="s">
        <v>66</v>
      </c>
    </row>
    <row r="5" spans="3:14" x14ac:dyDescent="0.35">
      <c r="C5" s="5" t="s">
        <v>74</v>
      </c>
      <c r="D5" s="5" t="s">
        <v>15</v>
      </c>
      <c r="E5" s="5" t="s">
        <v>27</v>
      </c>
      <c r="F5" s="5" t="s">
        <v>171</v>
      </c>
      <c r="G5" s="5" t="s">
        <v>71</v>
      </c>
      <c r="H5" s="5" t="s">
        <v>73</v>
      </c>
      <c r="I5" s="5" t="s">
        <v>169</v>
      </c>
      <c r="J5" s="5" t="s">
        <v>168</v>
      </c>
    </row>
    <row r="7" spans="3:14" x14ac:dyDescent="0.35">
      <c r="C7" t="s">
        <v>46</v>
      </c>
      <c r="D7">
        <v>10560912.413861036</v>
      </c>
      <c r="E7">
        <v>17628320.704196434</v>
      </c>
      <c r="F7">
        <v>198949667.86430508</v>
      </c>
      <c r="G7">
        <f>E7-D7</f>
        <v>7067408.2903353982</v>
      </c>
      <c r="H7">
        <f>((E7-D7)/D7)*100</f>
        <v>66.920432755976009</v>
      </c>
      <c r="I7" t="str">
        <f>IF(H7&gt;=_xlfn.PERCENTILE.INC($H$7:$H$39,0.75),"High",IF(H7&lt;=_xlfn.PERCENTILE.INC($H$7:$H$39,0.25),"Low","Medium"))</f>
        <v>Low</v>
      </c>
      <c r="J7" t="str">
        <f>IF(E7&gt;=_xlfn.PERCENTILE.INC($E$7:$E$39,0.75),"High Size",
 IF(E7&lt;=_xlfn.PERCENTILE.INC($E$7:$E$39,0.25),"Low Size","Medium Size"))</f>
        <v>High Size</v>
      </c>
    </row>
    <row r="8" spans="3:14" x14ac:dyDescent="0.35">
      <c r="C8" t="s">
        <v>38</v>
      </c>
      <c r="D8">
        <v>6646396.1412174683</v>
      </c>
      <c r="E8">
        <v>17034178.898538545</v>
      </c>
      <c r="F8">
        <v>150721776.47317427</v>
      </c>
      <c r="G8">
        <f>E8-D8</f>
        <v>10387782.757321076</v>
      </c>
      <c r="H8">
        <f t="shared" ref="H8:H40" si="0">((E8-D8)/D8)*100</f>
        <v>156.29195938083629</v>
      </c>
      <c r="I8" t="str">
        <f t="shared" ref="I8:I39" si="1">IF(H8&gt;=_xlfn.PERCENTILE.INC($H$7:$H$39,0.75),"High",IF(H8&lt;=_xlfn.PERCENTILE.INC($H$7:$H$39,0.25),"Low","Medium"))</f>
        <v>High</v>
      </c>
      <c r="J8" t="str">
        <f t="shared" ref="J8:J10" si="2">IF(E8&gt;=_xlfn.PERCENTILE.INC($E$7:$E$39,0.75),"High Size",
 IF(E8&lt;=_xlfn.PERCENTILE.INC($E$7:$E$39,0.25),"Low Size","Medium Size"))</f>
        <v>High Size</v>
      </c>
    </row>
    <row r="9" spans="3:14" x14ac:dyDescent="0.35">
      <c r="C9" t="s">
        <v>57</v>
      </c>
      <c r="D9">
        <v>7930218.8795999996</v>
      </c>
      <c r="E9">
        <v>15904885.909450067</v>
      </c>
      <c r="F9">
        <v>170575554.82617381</v>
      </c>
      <c r="G9">
        <f t="shared" ref="G9:G40" si="3">E9-D9</f>
        <v>7974667.0298500676</v>
      </c>
      <c r="H9">
        <f t="shared" si="0"/>
        <v>100.56049083795666</v>
      </c>
      <c r="I9" t="str">
        <f t="shared" si="1"/>
        <v>Medium</v>
      </c>
      <c r="J9" t="str">
        <f t="shared" si="2"/>
        <v>High Size</v>
      </c>
    </row>
    <row r="10" spans="3:14" x14ac:dyDescent="0.35">
      <c r="C10" t="s">
        <v>61</v>
      </c>
      <c r="D10">
        <v>6946588.3179423101</v>
      </c>
      <c r="E10">
        <v>13357207</v>
      </c>
      <c r="F10">
        <v>142679128.75048235</v>
      </c>
      <c r="G10">
        <f t="shared" si="3"/>
        <v>6410618.6820576899</v>
      </c>
      <c r="H10">
        <f>((E10-D10)/D10)*100</f>
        <v>92.284419180272039</v>
      </c>
      <c r="I10" t="str">
        <f t="shared" si="1"/>
        <v>Medium</v>
      </c>
      <c r="J10" t="str">
        <f t="shared" si="2"/>
        <v>High Size</v>
      </c>
    </row>
    <row r="11" spans="3:14" x14ac:dyDescent="0.35">
      <c r="C11" t="s">
        <v>43</v>
      </c>
      <c r="D11">
        <v>6044366.9995430242</v>
      </c>
      <c r="E11">
        <v>12975635.648943339</v>
      </c>
      <c r="F11">
        <v>134299248.04385427</v>
      </c>
      <c r="G11">
        <f t="shared" si="3"/>
        <v>6931268.6494003143</v>
      </c>
      <c r="H11">
        <f t="shared" si="0"/>
        <v>114.67319323800726</v>
      </c>
      <c r="I11" t="str">
        <f t="shared" si="1"/>
        <v>Medium</v>
      </c>
      <c r="J11" t="str">
        <f t="shared" ref="J11:J39" si="4">IF(E11&gt;=_xlfn.PERCENTILE.INC($E$7:$E$39,0.75),"High Size",
 IF(E11&lt;=_xlfn.PERCENTILE.INC($E$7:$E$39,0.25),"Low Size","Medium Size"))</f>
        <v>High Size</v>
      </c>
    </row>
    <row r="12" spans="3:14" x14ac:dyDescent="0.35">
      <c r="C12" t="s">
        <v>62</v>
      </c>
      <c r="D12">
        <v>6795832</v>
      </c>
      <c r="E12">
        <v>12796876.482000001</v>
      </c>
      <c r="F12">
        <v>138501217.87286499</v>
      </c>
      <c r="G12">
        <f t="shared" si="3"/>
        <v>6001044.4820000008</v>
      </c>
      <c r="H12">
        <f t="shared" si="0"/>
        <v>88.304779782666799</v>
      </c>
      <c r="I12" t="str">
        <f t="shared" si="1"/>
        <v>Medium</v>
      </c>
      <c r="J12" t="str">
        <f t="shared" si="4"/>
        <v>High Size</v>
      </c>
    </row>
    <row r="13" spans="3:14" x14ac:dyDescent="0.35">
      <c r="C13" t="s">
        <v>58</v>
      </c>
      <c r="D13">
        <v>3747813</v>
      </c>
      <c r="E13">
        <v>11532258.735939445</v>
      </c>
      <c r="F13">
        <v>108591811.79750496</v>
      </c>
      <c r="G13">
        <f t="shared" si="3"/>
        <v>7784445.735939445</v>
      </c>
      <c r="H13">
        <f t="shared" si="0"/>
        <v>207.70635397068756</v>
      </c>
      <c r="I13" t="str">
        <f t="shared" si="1"/>
        <v>High</v>
      </c>
      <c r="J13" t="str">
        <f t="shared" si="4"/>
        <v>High Size</v>
      </c>
    </row>
    <row r="14" spans="3:14" x14ac:dyDescent="0.35">
      <c r="C14" t="s">
        <v>44</v>
      </c>
      <c r="D14">
        <v>5321692</v>
      </c>
      <c r="E14">
        <v>10329246.319483049</v>
      </c>
      <c r="F14">
        <v>110850555.87508081</v>
      </c>
      <c r="G14">
        <f t="shared" si="3"/>
        <v>5007554.3194830492</v>
      </c>
      <c r="H14">
        <f t="shared" si="0"/>
        <v>94.097033790814081</v>
      </c>
      <c r="I14" t="str">
        <f t="shared" si="1"/>
        <v>Medium</v>
      </c>
      <c r="J14" t="str">
        <f t="shared" si="4"/>
        <v>High Size</v>
      </c>
    </row>
    <row r="15" spans="3:14" x14ac:dyDescent="0.35">
      <c r="C15" t="s">
        <v>55</v>
      </c>
      <c r="D15">
        <v>4374625.4402999999</v>
      </c>
      <c r="E15">
        <v>9626058.6894186288</v>
      </c>
      <c r="F15">
        <v>95788158.010219544</v>
      </c>
      <c r="G15">
        <f t="shared" si="3"/>
        <v>5251433.2491186289</v>
      </c>
      <c r="H15">
        <f t="shared" si="0"/>
        <v>120.04303730192041</v>
      </c>
      <c r="I15" t="str">
        <f t="shared" si="1"/>
        <v>Medium</v>
      </c>
      <c r="J15" t="str">
        <f t="shared" si="4"/>
        <v>High Size</v>
      </c>
    </row>
    <row r="16" spans="3:14" x14ac:dyDescent="0.35">
      <c r="C16" t="s">
        <v>39</v>
      </c>
      <c r="D16">
        <v>3310741.617737371</v>
      </c>
      <c r="E16">
        <v>8077333.1398421843</v>
      </c>
      <c r="F16">
        <v>82970706.933802739</v>
      </c>
      <c r="G16">
        <f t="shared" si="3"/>
        <v>4766591.5221048128</v>
      </c>
      <c r="H16">
        <f t="shared" si="0"/>
        <v>143.97352836499513</v>
      </c>
      <c r="I16" t="str">
        <f t="shared" si="1"/>
        <v>Medium</v>
      </c>
      <c r="J16" t="str">
        <f t="shared" si="4"/>
        <v>Medium Size</v>
      </c>
      <c r="N16" t="s">
        <v>170</v>
      </c>
    </row>
    <row r="17" spans="3:10" x14ac:dyDescent="0.35">
      <c r="C17" t="s">
        <v>36</v>
      </c>
      <c r="D17">
        <v>4212068.2896999996</v>
      </c>
      <c r="E17">
        <v>7967058.7539096298</v>
      </c>
      <c r="F17">
        <v>89963208.952726141</v>
      </c>
      <c r="G17">
        <f t="shared" si="3"/>
        <v>3754990.4642096302</v>
      </c>
      <c r="H17">
        <f t="shared" si="0"/>
        <v>89.148375713468681</v>
      </c>
      <c r="I17" t="str">
        <f t="shared" si="1"/>
        <v>Medium</v>
      </c>
      <c r="J17" t="str">
        <f t="shared" si="4"/>
        <v>Medium Size</v>
      </c>
    </row>
    <row r="18" spans="3:10" x14ac:dyDescent="0.35">
      <c r="C18" t="s">
        <v>45</v>
      </c>
      <c r="D18">
        <v>3378935</v>
      </c>
      <c r="E18">
        <v>6560080</v>
      </c>
      <c r="F18">
        <v>72576901</v>
      </c>
      <c r="G18">
        <f t="shared" si="3"/>
        <v>3181145</v>
      </c>
      <c r="H18">
        <f t="shared" si="0"/>
        <v>94.146380442358307</v>
      </c>
      <c r="I18" t="str">
        <f t="shared" si="1"/>
        <v>Medium</v>
      </c>
      <c r="J18" t="str">
        <f t="shared" si="4"/>
        <v>Medium Size</v>
      </c>
    </row>
    <row r="19" spans="3:10" x14ac:dyDescent="0.35">
      <c r="C19" t="s">
        <v>33</v>
      </c>
      <c r="D19">
        <v>4390442.0754727535</v>
      </c>
      <c r="E19">
        <v>6535861.6258689724</v>
      </c>
      <c r="F19">
        <v>79195910.795695201</v>
      </c>
      <c r="G19">
        <f t="shared" si="3"/>
        <v>2145419.5503962189</v>
      </c>
      <c r="H19">
        <f t="shared" si="0"/>
        <v>48.865683990722161</v>
      </c>
      <c r="I19" t="str">
        <f t="shared" si="1"/>
        <v>Low</v>
      </c>
      <c r="J19" t="str">
        <f t="shared" si="4"/>
        <v>Medium Size</v>
      </c>
    </row>
    <row r="20" spans="3:10" x14ac:dyDescent="0.35">
      <c r="C20" t="s">
        <v>29</v>
      </c>
      <c r="D20">
        <v>2673500</v>
      </c>
      <c r="E20">
        <v>6405717.1037376048</v>
      </c>
      <c r="F20">
        <v>65255455.977755167</v>
      </c>
      <c r="G20">
        <f t="shared" si="3"/>
        <v>3732217.1037376048</v>
      </c>
      <c r="H20">
        <f t="shared" si="0"/>
        <v>139.60041532588758</v>
      </c>
      <c r="I20" t="str">
        <f t="shared" si="1"/>
        <v>Medium</v>
      </c>
      <c r="J20" t="str">
        <f t="shared" si="4"/>
        <v>Medium Size</v>
      </c>
    </row>
    <row r="21" spans="3:10" x14ac:dyDescent="0.35">
      <c r="C21" t="s">
        <v>54</v>
      </c>
      <c r="D21">
        <v>2532467</v>
      </c>
      <c r="E21">
        <v>4754516.63117762</v>
      </c>
      <c r="F21">
        <v>53794657.706750095</v>
      </c>
      <c r="G21">
        <f t="shared" si="3"/>
        <v>2222049.63117762</v>
      </c>
      <c r="H21">
        <f t="shared" si="0"/>
        <v>87.742491064152858</v>
      </c>
      <c r="I21" t="str">
        <f t="shared" si="1"/>
        <v>Low</v>
      </c>
      <c r="J21" t="str">
        <f t="shared" si="4"/>
        <v>Medium Size</v>
      </c>
    </row>
    <row r="22" spans="3:10" x14ac:dyDescent="0.35">
      <c r="C22" t="s">
        <v>51</v>
      </c>
      <c r="D22">
        <v>2035854.3530947159</v>
      </c>
      <c r="E22">
        <v>4055158.3780972301</v>
      </c>
      <c r="F22">
        <v>45706428.719699986</v>
      </c>
      <c r="G22">
        <f t="shared" si="3"/>
        <v>2019304.0250025142</v>
      </c>
      <c r="H22">
        <f t="shared" si="0"/>
        <v>99.187057361591542</v>
      </c>
      <c r="I22" t="str">
        <f t="shared" si="1"/>
        <v>Medium</v>
      </c>
      <c r="J22" t="str">
        <f t="shared" si="4"/>
        <v>Medium Size</v>
      </c>
    </row>
    <row r="23" spans="3:10" x14ac:dyDescent="0.35">
      <c r="C23" t="s">
        <v>60</v>
      </c>
      <c r="D23">
        <v>1192896</v>
      </c>
      <c r="E23">
        <v>3172405</v>
      </c>
      <c r="F23">
        <v>30133360</v>
      </c>
      <c r="G23">
        <f t="shared" si="3"/>
        <v>1979509</v>
      </c>
      <c r="H23">
        <f t="shared" si="0"/>
        <v>165.94145675733677</v>
      </c>
      <c r="I23" t="str">
        <f t="shared" si="1"/>
        <v>High</v>
      </c>
      <c r="J23" t="str">
        <f t="shared" si="4"/>
        <v>Medium Size</v>
      </c>
    </row>
    <row r="24" spans="3:10" x14ac:dyDescent="0.35">
      <c r="C24" t="s">
        <v>42</v>
      </c>
      <c r="D24">
        <v>1152143</v>
      </c>
      <c r="E24">
        <v>3113077</v>
      </c>
      <c r="F24">
        <v>31395967</v>
      </c>
      <c r="G24">
        <f t="shared" si="3"/>
        <v>1960934</v>
      </c>
      <c r="H24">
        <f t="shared" si="0"/>
        <v>170.19883816505416</v>
      </c>
      <c r="I24" t="str">
        <f t="shared" si="1"/>
        <v>High</v>
      </c>
      <c r="J24" t="str">
        <f t="shared" si="4"/>
        <v>Medium Size</v>
      </c>
    </row>
    <row r="25" spans="3:10" x14ac:dyDescent="0.35">
      <c r="C25" t="s">
        <v>32</v>
      </c>
      <c r="D25">
        <v>2045676</v>
      </c>
      <c r="E25">
        <v>2203697.8419222292</v>
      </c>
      <c r="F25">
        <v>32727936.633023016</v>
      </c>
      <c r="G25">
        <f t="shared" si="3"/>
        <v>158021.84192222916</v>
      </c>
      <c r="H25">
        <f t="shared" si="0"/>
        <v>7.7246759468375812</v>
      </c>
      <c r="I25" t="str">
        <f t="shared" si="1"/>
        <v>Low</v>
      </c>
      <c r="J25" t="str">
        <f t="shared" si="4"/>
        <v>Medium Size</v>
      </c>
    </row>
    <row r="26" spans="3:10" x14ac:dyDescent="0.35">
      <c r="C26" t="s">
        <v>35</v>
      </c>
      <c r="D26">
        <v>932617</v>
      </c>
      <c r="E26">
        <v>1962075</v>
      </c>
      <c r="F26">
        <v>19962152</v>
      </c>
      <c r="G26">
        <f t="shared" si="3"/>
        <v>1029458</v>
      </c>
      <c r="H26">
        <f t="shared" si="0"/>
        <v>110.38379098815483</v>
      </c>
      <c r="I26" t="str">
        <f t="shared" si="1"/>
        <v>Medium</v>
      </c>
      <c r="J26" t="str">
        <f t="shared" si="4"/>
        <v>Medium Size</v>
      </c>
    </row>
    <row r="27" spans="3:10" x14ac:dyDescent="0.35">
      <c r="C27" t="s">
        <v>34</v>
      </c>
      <c r="D27">
        <v>614134</v>
      </c>
      <c r="E27">
        <v>1140548</v>
      </c>
      <c r="F27">
        <v>11699500.686658699</v>
      </c>
      <c r="G27">
        <f t="shared" si="3"/>
        <v>526414</v>
      </c>
      <c r="H27">
        <f t="shared" si="0"/>
        <v>85.716472300833374</v>
      </c>
      <c r="I27" t="str">
        <f t="shared" si="1"/>
        <v>Low</v>
      </c>
      <c r="J27" t="str">
        <f t="shared" si="4"/>
        <v>Medium Size</v>
      </c>
    </row>
    <row r="28" spans="3:10" x14ac:dyDescent="0.35">
      <c r="C28" t="s">
        <v>41</v>
      </c>
      <c r="D28">
        <v>667074.20150667301</v>
      </c>
      <c r="E28">
        <v>1114971.5157860918</v>
      </c>
      <c r="F28">
        <v>13096309.190806979</v>
      </c>
      <c r="G28">
        <f t="shared" si="3"/>
        <v>447897.31427941879</v>
      </c>
      <c r="H28">
        <f t="shared" si="0"/>
        <v>67.14355213674655</v>
      </c>
      <c r="I28" t="str">
        <f t="shared" si="1"/>
        <v>Low</v>
      </c>
      <c r="J28" t="str">
        <f t="shared" si="4"/>
        <v>Medium Size</v>
      </c>
    </row>
    <row r="29" spans="3:10" x14ac:dyDescent="0.35">
      <c r="C29" t="s">
        <v>40</v>
      </c>
      <c r="D29">
        <v>456828.6238031211</v>
      </c>
      <c r="E29">
        <v>1087133.1764015693</v>
      </c>
      <c r="F29">
        <v>10658443.21121685</v>
      </c>
      <c r="G29">
        <f t="shared" si="3"/>
        <v>630304.55259844824</v>
      </c>
      <c r="H29">
        <f t="shared" si="0"/>
        <v>137.97396217232</v>
      </c>
      <c r="I29" t="str">
        <f t="shared" si="1"/>
        <v>Medium</v>
      </c>
      <c r="J29" t="str">
        <f t="shared" si="4"/>
        <v>Medium Size</v>
      </c>
    </row>
    <row r="30" spans="3:10" x14ac:dyDescent="0.35">
      <c r="C30" t="s">
        <v>48</v>
      </c>
      <c r="D30">
        <v>258057.6466255764</v>
      </c>
      <c r="E30">
        <v>663599.5408214397</v>
      </c>
      <c r="F30">
        <v>6813037.9806428226</v>
      </c>
      <c r="G30">
        <f t="shared" si="3"/>
        <v>405541.89419586328</v>
      </c>
      <c r="H30">
        <f t="shared" si="0"/>
        <v>157.15166727234254</v>
      </c>
      <c r="I30" t="str">
        <f t="shared" si="1"/>
        <v>High</v>
      </c>
      <c r="J30" t="str">
        <f t="shared" si="4"/>
        <v>Medium Size</v>
      </c>
    </row>
    <row r="31" spans="3:10" x14ac:dyDescent="0.35">
      <c r="C31" t="s">
        <v>59</v>
      </c>
      <c r="D31">
        <v>226839</v>
      </c>
      <c r="E31">
        <v>554534</v>
      </c>
      <c r="F31">
        <v>5479614.2180003626</v>
      </c>
      <c r="G31">
        <f t="shared" si="3"/>
        <v>327695</v>
      </c>
      <c r="H31">
        <f t="shared" si="0"/>
        <v>144.46149030810398</v>
      </c>
      <c r="I31" t="str">
        <f t="shared" si="1"/>
        <v>High</v>
      </c>
      <c r="J31" t="str">
        <f t="shared" si="4"/>
        <v>Low Size</v>
      </c>
    </row>
    <row r="32" spans="3:10" x14ac:dyDescent="0.35">
      <c r="C32" t="s">
        <v>37</v>
      </c>
      <c r="D32">
        <v>259614.6574</v>
      </c>
      <c r="E32">
        <v>487812.48665978957</v>
      </c>
      <c r="F32">
        <v>4214997.0437429324</v>
      </c>
      <c r="G32">
        <f t="shared" si="3"/>
        <v>228197.82925978958</v>
      </c>
      <c r="H32">
        <f t="shared" si="0"/>
        <v>87.898669337530862</v>
      </c>
      <c r="I32" t="str">
        <f t="shared" si="1"/>
        <v>Medium</v>
      </c>
      <c r="J32" t="str">
        <f t="shared" si="4"/>
        <v>Low Size</v>
      </c>
    </row>
    <row r="33" spans="3:16" x14ac:dyDescent="0.35">
      <c r="C33" t="s">
        <v>49</v>
      </c>
      <c r="D33">
        <v>76482</v>
      </c>
      <c r="E33">
        <v>388938.08458970953</v>
      </c>
      <c r="F33">
        <v>2532119.5930961124</v>
      </c>
      <c r="G33">
        <f t="shared" si="3"/>
        <v>312456.08458970953</v>
      </c>
      <c r="H33">
        <f t="shared" si="0"/>
        <v>408.53545224982281</v>
      </c>
      <c r="I33" t="str">
        <f t="shared" si="1"/>
        <v>High</v>
      </c>
      <c r="J33" t="str">
        <f t="shared" si="4"/>
        <v>Low Size</v>
      </c>
    </row>
    <row r="34" spans="3:16" x14ac:dyDescent="0.35">
      <c r="C34" t="s">
        <v>47</v>
      </c>
      <c r="D34">
        <v>156450</v>
      </c>
      <c r="E34">
        <v>337426</v>
      </c>
      <c r="F34">
        <v>3282159</v>
      </c>
      <c r="G34">
        <f t="shared" si="3"/>
        <v>180976</v>
      </c>
      <c r="H34">
        <f t="shared" si="0"/>
        <v>115.67657398529883</v>
      </c>
      <c r="I34" t="str">
        <f t="shared" si="1"/>
        <v>Medium</v>
      </c>
      <c r="J34" t="str">
        <f t="shared" si="4"/>
        <v>Low Size</v>
      </c>
    </row>
    <row r="35" spans="3:16" x14ac:dyDescent="0.35">
      <c r="C35" t="s">
        <v>50</v>
      </c>
      <c r="D35">
        <v>105152.389</v>
      </c>
      <c r="E35">
        <v>178069.58996647212</v>
      </c>
      <c r="F35">
        <v>1908471.9567991244</v>
      </c>
      <c r="G35">
        <f t="shared" si="3"/>
        <v>72917.200966472126</v>
      </c>
      <c r="H35">
        <f t="shared" si="0"/>
        <v>69.344312249978586</v>
      </c>
      <c r="I35" t="str">
        <f t="shared" si="1"/>
        <v>Low</v>
      </c>
      <c r="J35" t="str">
        <f t="shared" si="4"/>
        <v>Low Size</v>
      </c>
    </row>
    <row r="36" spans="3:16" x14ac:dyDescent="0.35">
      <c r="C36" t="s">
        <v>56</v>
      </c>
      <c r="D36">
        <v>31445.820800000001</v>
      </c>
      <c r="E36">
        <v>175597.54544428119</v>
      </c>
      <c r="F36">
        <v>1147135.0148960648</v>
      </c>
      <c r="G36">
        <f t="shared" si="3"/>
        <v>144151.7246442812</v>
      </c>
      <c r="H36">
        <f t="shared" si="0"/>
        <v>458.41298136597277</v>
      </c>
      <c r="I36" t="str">
        <f t="shared" si="1"/>
        <v>High</v>
      </c>
      <c r="J36" t="str">
        <f t="shared" si="4"/>
        <v>Low Size</v>
      </c>
    </row>
    <row r="37" spans="3:16" x14ac:dyDescent="0.35">
      <c r="C37" t="s">
        <v>53</v>
      </c>
      <c r="D37">
        <v>147477</v>
      </c>
      <c r="E37">
        <v>147414.87711035504</v>
      </c>
      <c r="F37">
        <v>2164634.6322488813</v>
      </c>
      <c r="G37">
        <f t="shared" si="3"/>
        <v>-62.122889644961106</v>
      </c>
      <c r="H37">
        <f t="shared" si="0"/>
        <v>-4.2123781772724633E-2</v>
      </c>
      <c r="I37" t="str">
        <f t="shared" si="1"/>
        <v>Low</v>
      </c>
      <c r="J37" t="str">
        <f t="shared" si="4"/>
        <v>Low Size</v>
      </c>
    </row>
    <row r="38" spans="3:16" x14ac:dyDescent="0.35">
      <c r="C38" t="s">
        <v>150</v>
      </c>
      <c r="D38">
        <v>33936.691822353947</v>
      </c>
      <c r="E38">
        <v>89929.312052580251</v>
      </c>
      <c r="F38">
        <v>786995.69226960069</v>
      </c>
      <c r="G38">
        <f t="shared" si="3"/>
        <v>55992.620230226305</v>
      </c>
      <c r="H38">
        <f t="shared" si="0"/>
        <v>164.99139198165514</v>
      </c>
      <c r="I38" t="str">
        <f t="shared" si="1"/>
        <v>High</v>
      </c>
      <c r="J38" t="str">
        <f t="shared" si="4"/>
        <v>Low Size</v>
      </c>
    </row>
    <row r="39" spans="3:16" x14ac:dyDescent="0.35">
      <c r="C39" t="s">
        <v>31</v>
      </c>
      <c r="D39">
        <v>59892</v>
      </c>
      <c r="E39">
        <v>63337.741636650397</v>
      </c>
      <c r="F39">
        <v>863357.53610616981</v>
      </c>
      <c r="G39">
        <f t="shared" si="3"/>
        <v>3445.7416366503967</v>
      </c>
      <c r="H39">
        <f t="shared" si="0"/>
        <v>5.7532585932184546</v>
      </c>
      <c r="I39" t="str">
        <f t="shared" si="1"/>
        <v>Low</v>
      </c>
      <c r="J39" t="str">
        <f t="shared" si="4"/>
        <v>Low Size</v>
      </c>
    </row>
    <row r="40" spans="3:16" x14ac:dyDescent="0.35">
      <c r="C40" s="5" t="s">
        <v>65</v>
      </c>
      <c r="D40">
        <v>89319169.559426412</v>
      </c>
      <c r="E40">
        <v>182420960.7329939</v>
      </c>
      <c r="F40">
        <v>1919286580.9895971</v>
      </c>
      <c r="G40">
        <f t="shared" si="3"/>
        <v>93101791.173567489</v>
      </c>
      <c r="H40">
        <f t="shared" si="0"/>
        <v>104.23494937626397</v>
      </c>
      <c r="N40" s="12" t="s">
        <v>89</v>
      </c>
    </row>
    <row r="43" spans="3:16" x14ac:dyDescent="0.35">
      <c r="N43" s="5" t="s">
        <v>75</v>
      </c>
      <c r="O43" s="5" t="s">
        <v>76</v>
      </c>
      <c r="P43" s="5" t="s">
        <v>77</v>
      </c>
    </row>
    <row r="44" spans="3:16" x14ac:dyDescent="0.35">
      <c r="M44" s="5" t="s">
        <v>78</v>
      </c>
      <c r="N44" t="s">
        <v>81</v>
      </c>
      <c r="O44" t="s">
        <v>82</v>
      </c>
      <c r="P44" t="s">
        <v>83</v>
      </c>
    </row>
    <row r="45" spans="3:16" x14ac:dyDescent="0.35">
      <c r="M45" s="5" t="s">
        <v>79</v>
      </c>
      <c r="N45" t="s">
        <v>86</v>
      </c>
      <c r="O45" t="s">
        <v>85</v>
      </c>
      <c r="P45" t="s">
        <v>84</v>
      </c>
    </row>
    <row r="46" spans="3:16" x14ac:dyDescent="0.35">
      <c r="M46" s="5" t="s">
        <v>80</v>
      </c>
      <c r="N46" t="s">
        <v>46</v>
      </c>
      <c r="O46" t="s">
        <v>87</v>
      </c>
      <c r="P46" t="s">
        <v>88</v>
      </c>
    </row>
    <row r="52" spans="13:14" x14ac:dyDescent="0.35">
      <c r="M52" s="5" t="s">
        <v>90</v>
      </c>
    </row>
    <row r="54" spans="13:14" x14ac:dyDescent="0.35">
      <c r="M54" s="5" t="s">
        <v>91</v>
      </c>
    </row>
    <row r="56" spans="13:14" x14ac:dyDescent="0.35">
      <c r="M56" s="5" t="s">
        <v>92</v>
      </c>
    </row>
    <row r="58" spans="13:14" x14ac:dyDescent="0.35">
      <c r="M58" s="5" t="s">
        <v>93</v>
      </c>
    </row>
    <row r="61" spans="13:14" ht="18.5" x14ac:dyDescent="0.45">
      <c r="M61" s="33" t="s">
        <v>186</v>
      </c>
    </row>
    <row r="63" spans="13:14" x14ac:dyDescent="0.35">
      <c r="M63" s="5" t="s">
        <v>178</v>
      </c>
      <c r="N63">
        <f>AVERAGE(E7:E39)</f>
        <v>5527907.9009998161</v>
      </c>
    </row>
    <row r="64" spans="13:14" x14ac:dyDescent="0.35">
      <c r="M64" s="5" t="s">
        <v>179</v>
      </c>
      <c r="N64">
        <f>MEDIAN(E7:E39)</f>
        <v>3172405</v>
      </c>
    </row>
    <row r="65" spans="13:14" x14ac:dyDescent="0.35">
      <c r="M65" s="5" t="s">
        <v>184</v>
      </c>
      <c r="N65">
        <f>_xlfn.STDEV.S(E7:E39)</f>
        <v>5635979.8209611978</v>
      </c>
    </row>
    <row r="66" spans="13:14" x14ac:dyDescent="0.35">
      <c r="M66" s="5" t="s">
        <v>180</v>
      </c>
      <c r="N66">
        <f>MAX(E7:E39)</f>
        <v>17628320.704196434</v>
      </c>
    </row>
    <row r="67" spans="13:14" x14ac:dyDescent="0.35">
      <c r="M67" s="5" t="s">
        <v>185</v>
      </c>
      <c r="N67">
        <f>MIN(E7:E39)</f>
        <v>63337.741636650397</v>
      </c>
    </row>
    <row r="68" spans="13:14" x14ac:dyDescent="0.35">
      <c r="M68" s="5" t="s">
        <v>181</v>
      </c>
      <c r="N68">
        <f>_xlfn.QUARTILE.INC(E7:E39,1)</f>
        <v>554534</v>
      </c>
    </row>
    <row r="69" spans="13:14" x14ac:dyDescent="0.35">
      <c r="M69" s="5" t="s">
        <v>182</v>
      </c>
      <c r="N69">
        <f>_xlfn.QUARTILE.INC(E7:E39,3)</f>
        <v>9626058.6894186288</v>
      </c>
    </row>
    <row r="70" spans="13:14" x14ac:dyDescent="0.35">
      <c r="M70" s="5" t="s">
        <v>183</v>
      </c>
      <c r="N70">
        <f>N69-N68</f>
        <v>9071524.6894186288</v>
      </c>
    </row>
    <row r="72" spans="13:14" ht="18.5" x14ac:dyDescent="0.45">
      <c r="M72" s="33" t="s">
        <v>187</v>
      </c>
    </row>
    <row r="73" spans="13:14" x14ac:dyDescent="0.35">
      <c r="M73" s="5" t="s">
        <v>178</v>
      </c>
      <c r="N73">
        <f>AVERAGE(H7:H39)</f>
        <v>124.26703195550749</v>
      </c>
    </row>
    <row r="74" spans="13:14" x14ac:dyDescent="0.35">
      <c r="M74" s="5" t="s">
        <v>179</v>
      </c>
      <c r="N74">
        <f>MEDIAN(H7:H39)</f>
        <v>100.56049083795666</v>
      </c>
    </row>
    <row r="75" spans="13:14" x14ac:dyDescent="0.35">
      <c r="M75" s="5" t="s">
        <v>184</v>
      </c>
      <c r="N75">
        <f>_xlfn.STDEV.S(H7:H39)</f>
        <v>93.150839610299855</v>
      </c>
    </row>
    <row r="76" spans="13:14" x14ac:dyDescent="0.35">
      <c r="M76" s="5" t="s">
        <v>180</v>
      </c>
      <c r="N76">
        <f>MAX(H7:H39)</f>
        <v>458.41298136597277</v>
      </c>
    </row>
    <row r="77" spans="13:14" x14ac:dyDescent="0.35">
      <c r="M77" s="5" t="s">
        <v>185</v>
      </c>
      <c r="N77">
        <f>MIN(H7:H39)</f>
        <v>-4.2123781772724633E-2</v>
      </c>
    </row>
    <row r="78" spans="13:14" x14ac:dyDescent="0.35">
      <c r="M78" s="5" t="s">
        <v>181</v>
      </c>
      <c r="N78">
        <f>_xlfn.QUARTILE.INC(H7:H39,1)</f>
        <v>87.742491064152858</v>
      </c>
    </row>
    <row r="79" spans="13:14" x14ac:dyDescent="0.35">
      <c r="M79" s="5" t="s">
        <v>182</v>
      </c>
      <c r="N79">
        <f>_xlfn.QUARTILE.INC(H7:H39,3)</f>
        <v>144.46149030810398</v>
      </c>
    </row>
    <row r="80" spans="13:14" x14ac:dyDescent="0.35">
      <c r="M80" s="5" t="s">
        <v>183</v>
      </c>
      <c r="N80">
        <f>N79-N78</f>
        <v>56.718999243951117</v>
      </c>
    </row>
  </sheetData>
  <sortState xmlns:xlrd2="http://schemas.microsoft.com/office/spreadsheetml/2017/richdata2" ref="C6:H39">
    <sortCondition descending="1" ref="E6:E39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A373E-807E-4D1F-8C0E-A7A4C995111E}">
  <dimension ref="A1:E14"/>
  <sheetViews>
    <sheetView zoomScale="70" zoomScaleNormal="70" workbookViewId="0">
      <selection activeCell="J12" sqref="J12"/>
    </sheetView>
  </sheetViews>
  <sheetFormatPr defaultRowHeight="14.5" x14ac:dyDescent="0.35"/>
  <cols>
    <col min="2" max="2" width="21.54296875" customWidth="1"/>
    <col min="3" max="3" width="28.90625" customWidth="1"/>
    <col min="4" max="4" width="18.7265625" customWidth="1"/>
  </cols>
  <sheetData>
    <row r="1" spans="1:5" x14ac:dyDescent="0.35">
      <c r="A1" s="5" t="s">
        <v>94</v>
      </c>
      <c r="B1" s="5" t="s">
        <v>95</v>
      </c>
      <c r="C1" s="5" t="s">
        <v>156</v>
      </c>
      <c r="D1" s="5" t="s">
        <v>96</v>
      </c>
      <c r="E1" s="5"/>
    </row>
    <row r="2" spans="1:5" x14ac:dyDescent="0.35">
      <c r="A2" t="s">
        <v>15</v>
      </c>
      <c r="B2">
        <v>0</v>
      </c>
      <c r="C2">
        <v>89319169.559426412</v>
      </c>
      <c r="D2" s="14">
        <v>0</v>
      </c>
    </row>
    <row r="3" spans="1:5" x14ac:dyDescent="0.35">
      <c r="A3" t="s">
        <v>16</v>
      </c>
      <c r="B3">
        <v>0</v>
      </c>
      <c r="C3">
        <v>97674457.85203965</v>
      </c>
      <c r="D3" s="14">
        <v>0</v>
      </c>
    </row>
    <row r="4" spans="1:5" x14ac:dyDescent="0.35">
      <c r="A4" t="s">
        <v>17</v>
      </c>
      <c r="B4">
        <v>0</v>
      </c>
      <c r="C4">
        <v>103645211.16376549</v>
      </c>
      <c r="D4" s="14">
        <v>0</v>
      </c>
    </row>
    <row r="5" spans="1:5" x14ac:dyDescent="0.35">
      <c r="A5" t="s">
        <v>18</v>
      </c>
      <c r="B5">
        <v>0</v>
      </c>
      <c r="C5">
        <v>110074913.90068981</v>
      </c>
      <c r="D5" s="14">
        <v>0</v>
      </c>
    </row>
    <row r="6" spans="1:5" x14ac:dyDescent="0.35">
      <c r="A6" t="s">
        <v>19</v>
      </c>
      <c r="B6">
        <v>0</v>
      </c>
      <c r="C6">
        <v>117804369.73766559</v>
      </c>
      <c r="D6" s="14">
        <v>0</v>
      </c>
    </row>
    <row r="7" spans="1:5" x14ac:dyDescent="0.35">
      <c r="A7" t="s">
        <v>20</v>
      </c>
      <c r="B7" s="13">
        <v>6952.1399999999994</v>
      </c>
      <c r="C7">
        <v>127201988.72166616</v>
      </c>
      <c r="D7" s="14">
        <f>B7/C7</f>
        <v>5.4654334180357434E-5</v>
      </c>
    </row>
    <row r="8" spans="1:5" x14ac:dyDescent="0.35">
      <c r="A8" t="s">
        <v>21</v>
      </c>
      <c r="B8" s="13">
        <v>109831.79999999999</v>
      </c>
      <c r="C8">
        <v>140109896.84342766</v>
      </c>
      <c r="D8" s="14">
        <f t="shared" ref="D8:D14" si="0">B8/C8</f>
        <v>7.8389751526786622E-4</v>
      </c>
    </row>
    <row r="9" spans="1:5" x14ac:dyDescent="0.35">
      <c r="A9" t="s">
        <v>22</v>
      </c>
      <c r="B9" s="13">
        <v>876970.72000000009</v>
      </c>
      <c r="C9">
        <v>155823723.91502559</v>
      </c>
      <c r="D9" s="14">
        <f t="shared" si="0"/>
        <v>5.6279666405497615E-3</v>
      </c>
    </row>
    <row r="10" spans="1:5" x14ac:dyDescent="0.35">
      <c r="A10" t="s">
        <v>23</v>
      </c>
      <c r="B10" s="13">
        <v>2131730.14</v>
      </c>
      <c r="C10">
        <v>165325433.24428967</v>
      </c>
      <c r="D10" s="14">
        <f>B10/C10</f>
        <v>1.2894145190898086E-2</v>
      </c>
    </row>
    <row r="11" spans="1:5" x14ac:dyDescent="0.35">
      <c r="A11" t="s">
        <v>24</v>
      </c>
      <c r="B11" s="13">
        <v>4103653.5799999996</v>
      </c>
      <c r="C11">
        <v>134145642.84476887</v>
      </c>
      <c r="D11" s="14">
        <f t="shared" si="0"/>
        <v>3.0591031456375217E-2</v>
      </c>
    </row>
    <row r="12" spans="1:5" x14ac:dyDescent="0.35">
      <c r="A12" t="s">
        <v>25</v>
      </c>
      <c r="B12" s="13">
        <v>8417572.4800000004</v>
      </c>
      <c r="C12">
        <v>148856488.46079731</v>
      </c>
      <c r="D12" s="14">
        <f t="shared" si="0"/>
        <v>5.6548240302046651E-2</v>
      </c>
    </row>
    <row r="13" spans="1:5" x14ac:dyDescent="0.35">
      <c r="A13" t="s">
        <v>26</v>
      </c>
      <c r="B13" s="13">
        <v>13920676.35</v>
      </c>
      <c r="C13">
        <v>170542206.3363772</v>
      </c>
      <c r="D13" s="14">
        <f t="shared" si="0"/>
        <v>8.162598953682397E-2</v>
      </c>
    </row>
    <row r="14" spans="1:5" x14ac:dyDescent="0.35">
      <c r="A14" t="s">
        <v>27</v>
      </c>
      <c r="B14" s="13">
        <v>19995085.510000002</v>
      </c>
      <c r="C14">
        <v>182420960.7329939</v>
      </c>
      <c r="D14" s="14">
        <f t="shared" si="0"/>
        <v>0.10960958340344687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978D-2603-4536-B5D0-CE12AF40922C}">
  <dimension ref="A3:P38"/>
  <sheetViews>
    <sheetView topLeftCell="I1" zoomScale="85" zoomScaleNormal="85" workbookViewId="0">
      <selection activeCell="B41" sqref="B41"/>
    </sheetView>
  </sheetViews>
  <sheetFormatPr defaultRowHeight="14.5" x14ac:dyDescent="0.35"/>
  <cols>
    <col min="1" max="1" width="31.6328125" customWidth="1"/>
    <col min="2" max="2" width="15.26953125" bestFit="1" customWidth="1"/>
    <col min="3" max="16" width="11.81640625" bestFit="1" customWidth="1"/>
  </cols>
  <sheetData>
    <row r="3" spans="1:16" x14ac:dyDescent="0.35">
      <c r="A3" s="9" t="s">
        <v>157</v>
      </c>
      <c r="B3" s="9" t="s">
        <v>66</v>
      </c>
    </row>
    <row r="4" spans="1:16" x14ac:dyDescent="0.35">
      <c r="A4" s="9" t="s">
        <v>64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65</v>
      </c>
    </row>
    <row r="5" spans="1:16" x14ac:dyDescent="0.35">
      <c r="A5" s="10" t="s">
        <v>52</v>
      </c>
      <c r="B5">
        <v>33936.691822353947</v>
      </c>
      <c r="C5">
        <v>38829.343089736547</v>
      </c>
      <c r="D5">
        <v>44996.26656767173</v>
      </c>
      <c r="E5">
        <v>46386.012113812933</v>
      </c>
      <c r="F5">
        <v>48380.359482881904</v>
      </c>
      <c r="G5">
        <v>52295.762754867144</v>
      </c>
      <c r="H5">
        <v>63072.556103445997</v>
      </c>
      <c r="I5">
        <v>81279.805159961659</v>
      </c>
      <c r="J5">
        <v>77062.15508805131</v>
      </c>
      <c r="K5">
        <v>61438.843964697211</v>
      </c>
      <c r="L5">
        <v>69459.283659267647</v>
      </c>
      <c r="M5">
        <v>79929.300410272321</v>
      </c>
      <c r="N5">
        <v>89929.312052580251</v>
      </c>
      <c r="P5">
        <v>786995.69226960069</v>
      </c>
    </row>
    <row r="6" spans="1:16" x14ac:dyDescent="0.35">
      <c r="A6" s="10" t="s">
        <v>29</v>
      </c>
      <c r="B6">
        <v>2673500</v>
      </c>
      <c r="C6">
        <v>2955400</v>
      </c>
      <c r="D6">
        <v>3314900</v>
      </c>
      <c r="E6">
        <v>3678886</v>
      </c>
      <c r="F6">
        <v>4321773</v>
      </c>
      <c r="G6">
        <v>4345007</v>
      </c>
      <c r="H6">
        <v>4728082.2484859284</v>
      </c>
      <c r="I6">
        <v>5254769.8588167587</v>
      </c>
      <c r="J6">
        <v>5577694.9131578952</v>
      </c>
      <c r="K6">
        <v>4299583.2008396946</v>
      </c>
      <c r="L6">
        <v>4909791.6112095229</v>
      </c>
      <c r="M6">
        <v>5798289.0415077601</v>
      </c>
      <c r="N6">
        <v>6405717.1037376048</v>
      </c>
      <c r="O6">
        <v>6992062</v>
      </c>
      <c r="P6">
        <v>65255455.977755167</v>
      </c>
    </row>
    <row r="7" spans="1:16" x14ac:dyDescent="0.35">
      <c r="A7" s="10" t="s">
        <v>31</v>
      </c>
      <c r="B7">
        <v>59892</v>
      </c>
      <c r="C7">
        <v>46755</v>
      </c>
      <c r="D7">
        <v>60541</v>
      </c>
      <c r="E7">
        <v>52921</v>
      </c>
      <c r="F7">
        <v>51686</v>
      </c>
      <c r="G7">
        <v>71123</v>
      </c>
      <c r="H7">
        <v>67127</v>
      </c>
      <c r="I7">
        <v>69813</v>
      </c>
      <c r="J7">
        <v>75961</v>
      </c>
      <c r="K7">
        <v>64551</v>
      </c>
      <c r="L7">
        <v>55145.415531473591</v>
      </c>
      <c r="M7">
        <v>60404.121435661364</v>
      </c>
      <c r="N7">
        <v>63337.741636650397</v>
      </c>
      <c r="O7">
        <v>64100.257502384455</v>
      </c>
      <c r="P7">
        <v>863357.53610616981</v>
      </c>
    </row>
    <row r="8" spans="1:16" x14ac:dyDescent="0.35">
      <c r="A8" s="10" t="s">
        <v>32</v>
      </c>
      <c r="B8">
        <v>2045676</v>
      </c>
      <c r="C8">
        <v>2127460</v>
      </c>
      <c r="D8">
        <v>2262227</v>
      </c>
      <c r="E8">
        <v>2534132</v>
      </c>
      <c r="F8">
        <v>2223850</v>
      </c>
      <c r="G8">
        <v>2206094</v>
      </c>
      <c r="H8">
        <v>2372154</v>
      </c>
      <c r="I8">
        <v>2313574</v>
      </c>
      <c r="J8">
        <v>2410026</v>
      </c>
      <c r="K8">
        <v>3778776</v>
      </c>
      <c r="L8">
        <v>1839162</v>
      </c>
      <c r="M8">
        <v>2020860.637576639</v>
      </c>
      <c r="N8">
        <v>2203697.8419222292</v>
      </c>
      <c r="O8">
        <v>2390247.1535241441</v>
      </c>
      <c r="P8">
        <v>32727936.633023016</v>
      </c>
    </row>
    <row r="9" spans="1:16" x14ac:dyDescent="0.35">
      <c r="A9" s="10" t="s">
        <v>33</v>
      </c>
      <c r="B9">
        <v>4390442.0754727535</v>
      </c>
      <c r="C9">
        <v>4672877.2046314524</v>
      </c>
      <c r="D9">
        <v>4568274.688112624</v>
      </c>
      <c r="E9">
        <v>4262584.9216541424</v>
      </c>
      <c r="F9">
        <v>5042354.5978906136</v>
      </c>
      <c r="G9">
        <v>5445576.686857013</v>
      </c>
      <c r="H9">
        <v>6092899.7647150317</v>
      </c>
      <c r="I9">
        <v>6600717.7153148381</v>
      </c>
      <c r="J9">
        <v>6875796.8187053595</v>
      </c>
      <c r="K9">
        <v>5778900.2775752563</v>
      </c>
      <c r="L9">
        <v>5602045.3897529943</v>
      </c>
      <c r="M9">
        <v>6491113.0287696477</v>
      </c>
      <c r="N9">
        <v>6535861.6258689724</v>
      </c>
      <c r="O9">
        <v>6836466.0003745127</v>
      </c>
      <c r="P9">
        <v>79195910.795695201</v>
      </c>
    </row>
    <row r="10" spans="1:16" x14ac:dyDescent="0.35">
      <c r="A10" s="10" t="s">
        <v>34</v>
      </c>
      <c r="B10">
        <v>614134</v>
      </c>
      <c r="C10">
        <v>682914.52299817128</v>
      </c>
      <c r="D10">
        <v>738834.56988859351</v>
      </c>
      <c r="E10">
        <v>754141.60003540898</v>
      </c>
      <c r="F10">
        <v>812027.45879714005</v>
      </c>
      <c r="G10">
        <v>897599.53493938502</v>
      </c>
      <c r="H10">
        <v>977879</v>
      </c>
      <c r="I10">
        <v>1053525</v>
      </c>
      <c r="J10">
        <v>1141776</v>
      </c>
      <c r="K10">
        <v>856789</v>
      </c>
      <c r="L10">
        <v>950529</v>
      </c>
      <c r="M10">
        <v>1078803</v>
      </c>
      <c r="N10">
        <v>1140548</v>
      </c>
      <c r="P10">
        <v>11699500.686658699</v>
      </c>
    </row>
    <row r="11" spans="1:16" x14ac:dyDescent="0.35">
      <c r="A11" s="10" t="s">
        <v>35</v>
      </c>
      <c r="B11">
        <v>932617</v>
      </c>
      <c r="C11">
        <v>1021682</v>
      </c>
      <c r="D11">
        <v>1129497</v>
      </c>
      <c r="E11">
        <v>1154290</v>
      </c>
      <c r="F11">
        <v>1215208</v>
      </c>
      <c r="G11">
        <v>1538875</v>
      </c>
      <c r="H11">
        <v>1417566</v>
      </c>
      <c r="I11">
        <v>1558394</v>
      </c>
      <c r="J11">
        <v>1606573</v>
      </c>
      <c r="K11">
        <v>1218717</v>
      </c>
      <c r="L11">
        <v>1325511</v>
      </c>
      <c r="M11">
        <v>1643293</v>
      </c>
      <c r="N11">
        <v>1962075</v>
      </c>
      <c r="O11">
        <v>2237854</v>
      </c>
      <c r="P11">
        <v>19962152</v>
      </c>
    </row>
    <row r="12" spans="1:16" x14ac:dyDescent="0.35">
      <c r="A12" s="10" t="s">
        <v>36</v>
      </c>
      <c r="B12">
        <v>4212068.2896999996</v>
      </c>
      <c r="C12">
        <v>4589076.6777809588</v>
      </c>
      <c r="D12">
        <v>5028155.7438359288</v>
      </c>
      <c r="E12">
        <v>5120382.9715650557</v>
      </c>
      <c r="F12">
        <v>5931557.7405671645</v>
      </c>
      <c r="G12">
        <v>6245681.784407692</v>
      </c>
      <c r="H12">
        <v>6820833.5879430678</v>
      </c>
      <c r="I12">
        <v>7520088.8551616296</v>
      </c>
      <c r="J12">
        <v>7947769.6794410832</v>
      </c>
      <c r="K12">
        <v>6143522.4062144086</v>
      </c>
      <c r="L12">
        <v>6608201.2175415605</v>
      </c>
      <c r="M12">
        <v>7330734.9132427601</v>
      </c>
      <c r="N12">
        <v>7967058.7539096298</v>
      </c>
      <c r="O12">
        <v>8498076.3314151894</v>
      </c>
      <c r="P12">
        <v>89963208.952726141</v>
      </c>
    </row>
    <row r="13" spans="1:16" x14ac:dyDescent="0.35">
      <c r="A13" s="10" t="s">
        <v>37</v>
      </c>
      <c r="B13">
        <v>259614.6574</v>
      </c>
      <c r="C13">
        <v>238037.67700074485</v>
      </c>
      <c r="D13">
        <v>241585.24308472118</v>
      </c>
      <c r="E13">
        <v>250266.04485332652</v>
      </c>
      <c r="F13">
        <v>269968.8098391149</v>
      </c>
      <c r="G13">
        <v>314038.8561060846</v>
      </c>
      <c r="H13">
        <v>293828.19105098932</v>
      </c>
      <c r="I13">
        <v>380558.17543765868</v>
      </c>
      <c r="J13">
        <v>388523.9030906891</v>
      </c>
      <c r="K13">
        <v>300523.80825369031</v>
      </c>
      <c r="L13">
        <v>346133.58110344049</v>
      </c>
      <c r="M13">
        <v>444105.6098626834</v>
      </c>
      <c r="N13">
        <v>487812.48665978957</v>
      </c>
      <c r="P13">
        <v>4214997.0437429324</v>
      </c>
    </row>
    <row r="14" spans="1:16" x14ac:dyDescent="0.35">
      <c r="A14" s="10" t="s">
        <v>38</v>
      </c>
      <c r="B14">
        <v>6646396.1412174683</v>
      </c>
      <c r="C14">
        <v>7862424.1099105859</v>
      </c>
      <c r="D14">
        <v>8098296.8332079034</v>
      </c>
      <c r="E14">
        <v>8932421.4070283175</v>
      </c>
      <c r="F14">
        <v>9575555.7483343557</v>
      </c>
      <c r="G14">
        <v>10648017.992147803</v>
      </c>
      <c r="H14">
        <v>11957724.205181982</v>
      </c>
      <c r="I14">
        <v>13344820.21298309</v>
      </c>
      <c r="J14">
        <v>14616581.579280401</v>
      </c>
      <c r="K14">
        <v>12832721.00283399</v>
      </c>
      <c r="L14">
        <v>13857576.237788081</v>
      </c>
      <c r="M14">
        <v>15315062.104721718</v>
      </c>
      <c r="N14">
        <v>17034178.898538545</v>
      </c>
      <c r="P14">
        <v>150721776.47317427</v>
      </c>
    </row>
    <row r="15" spans="1:16" x14ac:dyDescent="0.35">
      <c r="A15" s="10" t="s">
        <v>39</v>
      </c>
      <c r="B15">
        <v>3310741.617737371</v>
      </c>
      <c r="C15">
        <v>3623928.6121909963</v>
      </c>
      <c r="D15">
        <v>3843440.4661615668</v>
      </c>
      <c r="E15">
        <v>4309744.1106291274</v>
      </c>
      <c r="F15">
        <v>5032464.7987791523</v>
      </c>
      <c r="G15">
        <v>5598673.4366213623</v>
      </c>
      <c r="H15">
        <v>6264536.0859739911</v>
      </c>
      <c r="I15">
        <v>6927780.0111257723</v>
      </c>
      <c r="J15">
        <v>7440278.4579740576</v>
      </c>
      <c r="K15">
        <v>5948636.0576334512</v>
      </c>
      <c r="L15">
        <v>6538523.1898796503</v>
      </c>
      <c r="M15">
        <v>7288426.3363480819</v>
      </c>
      <c r="N15">
        <v>8077333.1398421843</v>
      </c>
      <c r="O15">
        <v>8766200.612905968</v>
      </c>
      <c r="P15">
        <v>82970706.933802739</v>
      </c>
    </row>
    <row r="16" spans="1:16" x14ac:dyDescent="0.35">
      <c r="A16" s="10" t="s">
        <v>40</v>
      </c>
      <c r="B16">
        <v>456828.6238031211</v>
      </c>
      <c r="C16">
        <v>475494.52990059392</v>
      </c>
      <c r="D16">
        <v>507916.08685638389</v>
      </c>
      <c r="E16">
        <v>566701.56947093853</v>
      </c>
      <c r="F16">
        <v>647428.16820385505</v>
      </c>
      <c r="G16">
        <v>683934.72370552528</v>
      </c>
      <c r="H16">
        <v>740544.64159479341</v>
      </c>
      <c r="I16">
        <v>790768.11140086898</v>
      </c>
      <c r="J16">
        <v>863668.08200968755</v>
      </c>
      <c r="K16">
        <v>872056.20154958719</v>
      </c>
      <c r="L16">
        <v>875257.09502325475</v>
      </c>
      <c r="M16">
        <v>960671.55552284629</v>
      </c>
      <c r="N16">
        <v>1087133.1764015693</v>
      </c>
      <c r="O16">
        <v>1130040.6457738269</v>
      </c>
      <c r="P16">
        <v>10658443.21121685</v>
      </c>
    </row>
    <row r="17" spans="1:16" x14ac:dyDescent="0.35">
      <c r="A17" s="10" t="s">
        <v>41</v>
      </c>
      <c r="B17">
        <v>667074.20150667301</v>
      </c>
      <c r="C17">
        <v>751709.40132935822</v>
      </c>
      <c r="D17">
        <v>787767.01529095357</v>
      </c>
      <c r="E17">
        <v>765735.15664710593</v>
      </c>
      <c r="F17">
        <v>857054.2028445428</v>
      </c>
      <c r="G17">
        <v>911073.10200459196</v>
      </c>
      <c r="H17">
        <v>1012473.4145453667</v>
      </c>
      <c r="I17">
        <v>1103135.499531883</v>
      </c>
      <c r="J17">
        <v>1102206.8966411876</v>
      </c>
      <c r="K17">
        <v>781600.31019631226</v>
      </c>
      <c r="L17">
        <v>941257.81405905983</v>
      </c>
      <c r="M17">
        <v>1106154.1721227937</v>
      </c>
      <c r="N17">
        <v>1114971.5157860918</v>
      </c>
      <c r="O17">
        <v>1194096.4883010585</v>
      </c>
      <c r="P17">
        <v>13096309.190806979</v>
      </c>
    </row>
    <row r="18" spans="1:16" x14ac:dyDescent="0.35">
      <c r="A18" s="10" t="s">
        <v>42</v>
      </c>
      <c r="B18">
        <v>1152143</v>
      </c>
      <c r="C18">
        <v>1287305</v>
      </c>
      <c r="D18">
        <v>1400566</v>
      </c>
      <c r="E18">
        <v>1549332</v>
      </c>
      <c r="F18">
        <v>1777188</v>
      </c>
      <c r="G18">
        <v>2017464</v>
      </c>
      <c r="H18">
        <v>2275871</v>
      </c>
      <c r="I18">
        <v>2656896</v>
      </c>
      <c r="J18">
        <v>2928867</v>
      </c>
      <c r="K18">
        <v>2423282</v>
      </c>
      <c r="L18">
        <v>2567872</v>
      </c>
      <c r="M18">
        <v>3001476</v>
      </c>
      <c r="N18">
        <v>3113077</v>
      </c>
      <c r="O18">
        <v>3244628</v>
      </c>
      <c r="P18">
        <v>31395967</v>
      </c>
    </row>
    <row r="19" spans="1:16" x14ac:dyDescent="0.35">
      <c r="A19" s="10" t="s">
        <v>43</v>
      </c>
      <c r="B19">
        <v>6044366.9995430242</v>
      </c>
      <c r="C19">
        <v>6441601.6856466215</v>
      </c>
      <c r="D19">
        <v>7093957.794866791</v>
      </c>
      <c r="E19">
        <v>7560180.8915575091</v>
      </c>
      <c r="F19">
        <v>7734152.4663601657</v>
      </c>
      <c r="G19">
        <v>8557165.2977815568</v>
      </c>
      <c r="H19">
        <v>9686849.9269641601</v>
      </c>
      <c r="I19">
        <v>11058684.182117753</v>
      </c>
      <c r="J19">
        <v>11720487.390868409</v>
      </c>
      <c r="K19">
        <v>8758051.5031056572</v>
      </c>
      <c r="L19">
        <v>10398481.898575382</v>
      </c>
      <c r="M19">
        <v>12533065.872745266</v>
      </c>
      <c r="N19">
        <v>12975635.648943339</v>
      </c>
      <c r="O19">
        <v>13736566.484778646</v>
      </c>
      <c r="P19">
        <v>134299248.04385427</v>
      </c>
    </row>
    <row r="20" spans="1:16" x14ac:dyDescent="0.35">
      <c r="A20" s="10" t="s">
        <v>44</v>
      </c>
      <c r="B20">
        <v>5321692</v>
      </c>
      <c r="C20">
        <v>6056645</v>
      </c>
      <c r="D20">
        <v>6191493.030330006</v>
      </c>
      <c r="E20">
        <v>6572440.757842645</v>
      </c>
      <c r="F20">
        <v>7068460.6552736768</v>
      </c>
      <c r="G20">
        <v>7188898.7931963196</v>
      </c>
      <c r="H20">
        <v>7738372.9679139778</v>
      </c>
      <c r="I20">
        <v>8545827.5356922913</v>
      </c>
      <c r="J20">
        <v>9117190.7279445753</v>
      </c>
      <c r="K20">
        <v>6885193.8308616234</v>
      </c>
      <c r="L20">
        <v>8349769.0653998749</v>
      </c>
      <c r="M20">
        <v>9924364.738347223</v>
      </c>
      <c r="N20">
        <v>10329246.319483049</v>
      </c>
      <c r="O20">
        <v>11560960.452795554</v>
      </c>
      <c r="P20">
        <v>110850555.87508081</v>
      </c>
    </row>
    <row r="21" spans="1:16" x14ac:dyDescent="0.35">
      <c r="A21" s="10" t="s">
        <v>45</v>
      </c>
      <c r="B21">
        <v>3378935</v>
      </c>
      <c r="C21">
        <v>3747267</v>
      </c>
      <c r="D21">
        <v>3890257</v>
      </c>
      <c r="E21">
        <v>4062768</v>
      </c>
      <c r="F21">
        <v>4287194</v>
      </c>
      <c r="G21">
        <v>4830781</v>
      </c>
      <c r="H21">
        <v>5282407</v>
      </c>
      <c r="I21">
        <v>6079542</v>
      </c>
      <c r="J21">
        <v>6301514</v>
      </c>
      <c r="K21">
        <v>4838760</v>
      </c>
      <c r="L21">
        <v>5695609</v>
      </c>
      <c r="M21">
        <v>6471506</v>
      </c>
      <c r="N21">
        <v>6560080</v>
      </c>
      <c r="O21">
        <v>7150281</v>
      </c>
      <c r="P21">
        <v>72576901</v>
      </c>
    </row>
    <row r="22" spans="1:16" x14ac:dyDescent="0.35">
      <c r="A22" s="10" t="s">
        <v>46</v>
      </c>
      <c r="B22">
        <v>10560912.413861036</v>
      </c>
      <c r="C22">
        <v>11681538.933889072</v>
      </c>
      <c r="D22">
        <v>11513192.41030558</v>
      </c>
      <c r="E22">
        <v>11887258.426090142</v>
      </c>
      <c r="F22">
        <v>11940631.392670158</v>
      </c>
      <c r="G22">
        <v>13409917.378223112</v>
      </c>
      <c r="H22">
        <v>14504738.590643274</v>
      </c>
      <c r="I22">
        <v>16410747.667601509</v>
      </c>
      <c r="J22">
        <v>16931707.334131099</v>
      </c>
      <c r="K22">
        <v>12519903.149360277</v>
      </c>
      <c r="L22">
        <v>14665376.108949048</v>
      </c>
      <c r="M22">
        <v>16744694.408131713</v>
      </c>
      <c r="N22">
        <v>17628320.704196434</v>
      </c>
      <c r="O22">
        <v>18550728.94625264</v>
      </c>
      <c r="P22">
        <v>198949667.86430508</v>
      </c>
    </row>
    <row r="23" spans="1:16" x14ac:dyDescent="0.35">
      <c r="A23" s="10" t="s">
        <v>47</v>
      </c>
      <c r="B23">
        <v>156450</v>
      </c>
      <c r="C23">
        <v>130915</v>
      </c>
      <c r="D23">
        <v>190705</v>
      </c>
      <c r="E23">
        <v>203972</v>
      </c>
      <c r="F23">
        <v>237194</v>
      </c>
      <c r="G23">
        <v>256129</v>
      </c>
      <c r="H23">
        <v>283085</v>
      </c>
      <c r="I23">
        <v>307748</v>
      </c>
      <c r="J23">
        <v>327129</v>
      </c>
      <c r="K23">
        <v>253188</v>
      </c>
      <c r="L23">
        <v>282501</v>
      </c>
      <c r="M23">
        <v>315717</v>
      </c>
      <c r="N23">
        <v>337426</v>
      </c>
      <c r="P23">
        <v>3282159</v>
      </c>
    </row>
    <row r="24" spans="1:16" x14ac:dyDescent="0.35">
      <c r="A24" s="10" t="s">
        <v>48</v>
      </c>
      <c r="B24">
        <v>258057.6466255764</v>
      </c>
      <c r="C24">
        <v>298977.5992739416</v>
      </c>
      <c r="D24">
        <v>328737.50910511828</v>
      </c>
      <c r="E24">
        <v>336505.20133436134</v>
      </c>
      <c r="F24">
        <v>394421.95503598254</v>
      </c>
      <c r="G24">
        <v>446270.09966690303</v>
      </c>
      <c r="H24">
        <v>498906.23787697143</v>
      </c>
      <c r="I24">
        <v>572363.228758201</v>
      </c>
      <c r="J24">
        <v>628937.75943055796</v>
      </c>
      <c r="K24">
        <v>525772.63196214824</v>
      </c>
      <c r="L24">
        <v>540262.62920485577</v>
      </c>
      <c r="M24">
        <v>607956.70772636845</v>
      </c>
      <c r="N24">
        <v>663599.5408214397</v>
      </c>
      <c r="O24">
        <v>712269.23382039741</v>
      </c>
      <c r="P24">
        <v>6813037.9806428226</v>
      </c>
    </row>
    <row r="25" spans="1:16" x14ac:dyDescent="0.35">
      <c r="A25" s="10" t="s">
        <v>49</v>
      </c>
      <c r="B25">
        <v>76482</v>
      </c>
      <c r="C25">
        <v>91962</v>
      </c>
      <c r="D25">
        <v>95240</v>
      </c>
      <c r="E25">
        <v>104821</v>
      </c>
      <c r="F25">
        <v>129144</v>
      </c>
      <c r="G25">
        <v>160617.31283985541</v>
      </c>
      <c r="H25">
        <v>187624.82301581616</v>
      </c>
      <c r="I25">
        <v>218659.81289683835</v>
      </c>
      <c r="J25">
        <v>247947</v>
      </c>
      <c r="K25">
        <v>207396.14465875772</v>
      </c>
      <c r="L25">
        <v>273800.70523496089</v>
      </c>
      <c r="M25">
        <v>349486.70986017428</v>
      </c>
      <c r="N25">
        <v>388938.08458970953</v>
      </c>
      <c r="P25">
        <v>2532119.5930961124</v>
      </c>
    </row>
    <row r="26" spans="1:16" x14ac:dyDescent="0.35">
      <c r="A26" s="10" t="s">
        <v>50</v>
      </c>
      <c r="B26">
        <v>105152.389</v>
      </c>
      <c r="C26">
        <v>113536.60119328614</v>
      </c>
      <c r="D26">
        <v>108460.41932994805</v>
      </c>
      <c r="E26">
        <v>110940.3986</v>
      </c>
      <c r="F26">
        <v>127678.54362861204</v>
      </c>
      <c r="G26">
        <v>126118.73814238566</v>
      </c>
      <c r="H26">
        <v>161058.17785892411</v>
      </c>
      <c r="I26">
        <v>182782.71843475432</v>
      </c>
      <c r="J26">
        <v>201379.34984520124</v>
      </c>
      <c r="K26">
        <v>186140.45015659614</v>
      </c>
      <c r="L26">
        <v>140528.22496988592</v>
      </c>
      <c r="M26">
        <v>166626.35567305854</v>
      </c>
      <c r="N26">
        <v>178069.58996647212</v>
      </c>
      <c r="P26">
        <v>1908471.9567991244</v>
      </c>
    </row>
    <row r="27" spans="1:16" x14ac:dyDescent="0.35">
      <c r="A27" s="10" t="s">
        <v>51</v>
      </c>
      <c r="B27">
        <v>2035854.3530947159</v>
      </c>
      <c r="C27">
        <v>2274230.7434891961</v>
      </c>
      <c r="D27">
        <v>2454254.0246662232</v>
      </c>
      <c r="E27">
        <v>2652359.7073219866</v>
      </c>
      <c r="F27">
        <v>3052006.1232740334</v>
      </c>
      <c r="G27">
        <v>3165618.2626283052</v>
      </c>
      <c r="H27">
        <v>3475493.9402469173</v>
      </c>
      <c r="I27">
        <v>3757458.0401663748</v>
      </c>
      <c r="J27">
        <v>4006859.4935816173</v>
      </c>
      <c r="K27">
        <v>3048101.1267663222</v>
      </c>
      <c r="L27">
        <v>3333851.5014007757</v>
      </c>
      <c r="M27">
        <v>3772538.6192054767</v>
      </c>
      <c r="N27">
        <v>4055158.3780972301</v>
      </c>
      <c r="O27">
        <v>4622644.4057608088</v>
      </c>
      <c r="P27">
        <v>45706428.719699986</v>
      </c>
    </row>
    <row r="28" spans="1:16" x14ac:dyDescent="0.35">
      <c r="A28" s="10" t="s">
        <v>53</v>
      </c>
      <c r="B28">
        <v>147477</v>
      </c>
      <c r="C28">
        <v>174572</v>
      </c>
      <c r="D28">
        <v>165482</v>
      </c>
      <c r="E28">
        <v>174562</v>
      </c>
      <c r="F28">
        <v>155361.69009282062</v>
      </c>
      <c r="G28">
        <v>157358.09668612314</v>
      </c>
      <c r="H28">
        <v>160976.934338953</v>
      </c>
      <c r="I28">
        <v>170228.06084742979</v>
      </c>
      <c r="J28">
        <v>166241.07095387537</v>
      </c>
      <c r="K28">
        <v>116410.66482145984</v>
      </c>
      <c r="L28">
        <v>133252.27340010216</v>
      </c>
      <c r="M28">
        <v>149812.36901502957</v>
      </c>
      <c r="N28">
        <v>147414.87711035504</v>
      </c>
      <c r="O28">
        <v>145485.59498273258</v>
      </c>
      <c r="P28">
        <v>2164634.6322488813</v>
      </c>
    </row>
    <row r="29" spans="1:16" x14ac:dyDescent="0.35">
      <c r="A29" s="10" t="s">
        <v>54</v>
      </c>
      <c r="B29">
        <v>2532467</v>
      </c>
      <c r="C29">
        <v>2758214</v>
      </c>
      <c r="D29">
        <v>3004908</v>
      </c>
      <c r="E29">
        <v>3237423</v>
      </c>
      <c r="F29">
        <v>3458884</v>
      </c>
      <c r="G29">
        <v>3674850</v>
      </c>
      <c r="H29">
        <v>3934840</v>
      </c>
      <c r="I29">
        <v>4204671</v>
      </c>
      <c r="J29">
        <v>4466272</v>
      </c>
      <c r="K29">
        <v>3882005</v>
      </c>
      <c r="L29">
        <v>4222983</v>
      </c>
      <c r="M29">
        <v>4550015.681627715</v>
      </c>
      <c r="N29">
        <v>4754516.63117762</v>
      </c>
      <c r="O29">
        <v>5112608.3939447664</v>
      </c>
      <c r="P29">
        <v>53794657.706750095</v>
      </c>
    </row>
    <row r="30" spans="1:16" x14ac:dyDescent="0.35">
      <c r="A30" s="10" t="s">
        <v>55</v>
      </c>
      <c r="B30">
        <v>4374625.4402999999</v>
      </c>
      <c r="C30">
        <v>4746078.6660000002</v>
      </c>
      <c r="D30">
        <v>5082507.6759000001</v>
      </c>
      <c r="E30">
        <v>5432676</v>
      </c>
      <c r="F30">
        <v>5697093.6701999996</v>
      </c>
      <c r="G30">
        <v>5970325.9463999998</v>
      </c>
      <c r="H30">
        <v>6703637.4944879999</v>
      </c>
      <c r="I30">
        <v>7590102.6185999997</v>
      </c>
      <c r="J30">
        <v>7875857.54</v>
      </c>
      <c r="K30">
        <v>6043360.7148453919</v>
      </c>
      <c r="L30">
        <v>7371043.3618036406</v>
      </c>
      <c r="M30">
        <v>8991630.4555946924</v>
      </c>
      <c r="N30">
        <v>9626058.6894186288</v>
      </c>
      <c r="O30">
        <v>10283159.736669194</v>
      </c>
      <c r="P30">
        <v>95788158.010219544</v>
      </c>
    </row>
    <row r="31" spans="1:16" x14ac:dyDescent="0.35">
      <c r="A31" s="10" t="s">
        <v>56</v>
      </c>
      <c r="B31">
        <v>31445.820800000001</v>
      </c>
      <c r="C31">
        <v>50934.612523793861</v>
      </c>
      <c r="D31">
        <v>60934.326689633766</v>
      </c>
      <c r="E31">
        <v>60092.797083652891</v>
      </c>
      <c r="F31">
        <v>61863.441029078502</v>
      </c>
      <c r="G31">
        <v>66329.539523131185</v>
      </c>
      <c r="H31">
        <v>76206.899882089027</v>
      </c>
      <c r="I31">
        <v>87843.719503532426</v>
      </c>
      <c r="J31">
        <v>98890.778189534307</v>
      </c>
      <c r="K31">
        <v>106031.06574720895</v>
      </c>
      <c r="L31">
        <v>118421.07495578595</v>
      </c>
      <c r="M31">
        <v>152543.39352434268</v>
      </c>
      <c r="N31">
        <v>175597.54544428119</v>
      </c>
      <c r="P31">
        <v>1147135.0148960648</v>
      </c>
    </row>
    <row r="32" spans="1:16" x14ac:dyDescent="0.35">
      <c r="A32" s="10" t="s">
        <v>57</v>
      </c>
      <c r="B32">
        <v>7930218.8795999996</v>
      </c>
      <c r="C32">
        <v>8910693.7863545809</v>
      </c>
      <c r="D32">
        <v>9828600.7063888069</v>
      </c>
      <c r="E32">
        <v>10228120.585056704</v>
      </c>
      <c r="F32">
        <v>10133545.374893416</v>
      </c>
      <c r="G32">
        <v>10811169.043281471</v>
      </c>
      <c r="H32">
        <v>11801743.975952974</v>
      </c>
      <c r="I32">
        <v>12964536.565489748</v>
      </c>
      <c r="J32">
        <v>13519999.357457431</v>
      </c>
      <c r="K32">
        <v>12780175.642704688</v>
      </c>
      <c r="L32">
        <v>13537069.430396412</v>
      </c>
      <c r="M32">
        <v>14896133.497768957</v>
      </c>
      <c r="N32">
        <v>15904885.909450067</v>
      </c>
      <c r="O32">
        <v>17328662.071378559</v>
      </c>
      <c r="P32">
        <v>170575554.82617381</v>
      </c>
    </row>
    <row r="33" spans="1:16" x14ac:dyDescent="0.35">
      <c r="A33" s="10" t="s">
        <v>58</v>
      </c>
      <c r="B33">
        <v>3747813</v>
      </c>
      <c r="C33">
        <v>4026649</v>
      </c>
      <c r="D33">
        <v>4357584</v>
      </c>
      <c r="E33">
        <v>5223022</v>
      </c>
      <c r="F33">
        <v>5854315</v>
      </c>
      <c r="G33">
        <v>6483197</v>
      </c>
      <c r="H33">
        <v>7514990</v>
      </c>
      <c r="I33">
        <v>8911381.3386095688</v>
      </c>
      <c r="J33">
        <v>9731135.9564989358</v>
      </c>
      <c r="K33">
        <v>7691857.8107176293</v>
      </c>
      <c r="L33">
        <v>9386008.9924850781</v>
      </c>
      <c r="M33">
        <v>10686572.705636328</v>
      </c>
      <c r="N33">
        <v>11532258.735939445</v>
      </c>
      <c r="O33">
        <v>13445026.257617988</v>
      </c>
      <c r="P33">
        <v>108591811.79750496</v>
      </c>
    </row>
    <row r="34" spans="1:16" x14ac:dyDescent="0.35">
      <c r="A34" s="10" t="s">
        <v>59</v>
      </c>
      <c r="B34">
        <v>226839</v>
      </c>
      <c r="C34">
        <v>262147</v>
      </c>
      <c r="D34">
        <v>250939</v>
      </c>
      <c r="E34">
        <v>318626</v>
      </c>
      <c r="F34">
        <v>241102</v>
      </c>
      <c r="G34">
        <v>279845</v>
      </c>
      <c r="H34">
        <v>384131</v>
      </c>
      <c r="I34">
        <v>452552</v>
      </c>
      <c r="J34">
        <v>525530</v>
      </c>
      <c r="K34">
        <v>404256</v>
      </c>
      <c r="L34">
        <v>424054</v>
      </c>
      <c r="M34">
        <v>540285</v>
      </c>
      <c r="N34">
        <v>554534</v>
      </c>
      <c r="O34">
        <v>614774.21800036298</v>
      </c>
      <c r="P34">
        <v>5479614.2180003626</v>
      </c>
    </row>
    <row r="35" spans="1:16" x14ac:dyDescent="0.35">
      <c r="A35" s="10" t="s">
        <v>61</v>
      </c>
      <c r="B35">
        <v>6946588.3179423101</v>
      </c>
      <c r="C35">
        <v>6976021.1448365413</v>
      </c>
      <c r="D35">
        <v>7679666.3531770352</v>
      </c>
      <c r="E35">
        <v>8162572.3418055885</v>
      </c>
      <c r="F35">
        <v>8944798.5404688269</v>
      </c>
      <c r="G35">
        <v>9537001.3337526731</v>
      </c>
      <c r="H35">
        <v>10242555.178651022</v>
      </c>
      <c r="I35">
        <v>10929187.181375124</v>
      </c>
      <c r="J35">
        <v>12036089</v>
      </c>
      <c r="K35">
        <v>9943130</v>
      </c>
      <c r="L35">
        <v>10843412.358473234</v>
      </c>
      <c r="M35">
        <v>12339047</v>
      </c>
      <c r="N35">
        <v>13357207</v>
      </c>
      <c r="O35">
        <v>14741853</v>
      </c>
      <c r="P35">
        <v>142679128.75048235</v>
      </c>
    </row>
    <row r="36" spans="1:16" x14ac:dyDescent="0.35">
      <c r="A36" s="10" t="s">
        <v>60</v>
      </c>
      <c r="B36">
        <v>1192896</v>
      </c>
      <c r="C36">
        <v>1306187</v>
      </c>
      <c r="D36">
        <v>1418883</v>
      </c>
      <c r="E36">
        <v>1518569</v>
      </c>
      <c r="F36">
        <v>1691788</v>
      </c>
      <c r="G36">
        <v>1955352</v>
      </c>
      <c r="H36">
        <v>2222555</v>
      </c>
      <c r="I36">
        <v>2480838</v>
      </c>
      <c r="J36">
        <v>2646355</v>
      </c>
      <c r="K36">
        <v>1931675</v>
      </c>
      <c r="L36">
        <v>2388250</v>
      </c>
      <c r="M36">
        <v>2885557</v>
      </c>
      <c r="N36">
        <v>3172405</v>
      </c>
      <c r="O36">
        <v>3322050</v>
      </c>
      <c r="P36">
        <v>30133360</v>
      </c>
    </row>
    <row r="37" spans="1:16" x14ac:dyDescent="0.35">
      <c r="A37" s="10" t="s">
        <v>62</v>
      </c>
      <c r="B37">
        <v>6795832</v>
      </c>
      <c r="C37">
        <v>7252392</v>
      </c>
      <c r="D37">
        <v>7902411</v>
      </c>
      <c r="E37">
        <v>8250079</v>
      </c>
      <c r="F37">
        <v>8788238</v>
      </c>
      <c r="G37">
        <v>9149590</v>
      </c>
      <c r="H37">
        <v>10165132</v>
      </c>
      <c r="I37">
        <v>11242450</v>
      </c>
      <c r="J37">
        <v>11723125</v>
      </c>
      <c r="K37">
        <v>8663137</v>
      </c>
      <c r="L37">
        <v>10265349</v>
      </c>
      <c r="M37">
        <v>11845330</v>
      </c>
      <c r="N37">
        <v>12796876.482000001</v>
      </c>
      <c r="O37">
        <v>13661276.390865</v>
      </c>
      <c r="P37">
        <v>138501217.87286499</v>
      </c>
    </row>
    <row r="38" spans="1:16" x14ac:dyDescent="0.35">
      <c r="A38" s="10" t="s">
        <v>65</v>
      </c>
      <c r="B38">
        <v>89319169.559426412</v>
      </c>
      <c r="C38">
        <v>97674457.85203965</v>
      </c>
      <c r="D38">
        <v>103645211.16376549</v>
      </c>
      <c r="E38">
        <v>110074913.90068981</v>
      </c>
      <c r="F38">
        <v>117804369.73766559</v>
      </c>
      <c r="G38">
        <v>127201988.72166616</v>
      </c>
      <c r="H38">
        <v>140109896.84342766</v>
      </c>
      <c r="I38">
        <v>155823723.91502559</v>
      </c>
      <c r="J38">
        <v>165325433.24428967</v>
      </c>
      <c r="K38">
        <v>134145642.84476887</v>
      </c>
      <c r="L38">
        <v>148856488.46079731</v>
      </c>
      <c r="M38">
        <v>170542206.3363772</v>
      </c>
      <c r="N38">
        <v>182420960.7329939</v>
      </c>
      <c r="O38">
        <v>176342117.67666373</v>
      </c>
      <c r="P38">
        <v>1919286580.9895971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9CEC2-0FA8-4402-8C70-778A6D9739CC}">
  <dimension ref="A1:Q455"/>
  <sheetViews>
    <sheetView topLeftCell="A393" zoomScale="55" zoomScaleNormal="55" workbookViewId="0">
      <selection activeCell="D223" sqref="D223"/>
    </sheetView>
  </sheetViews>
  <sheetFormatPr defaultRowHeight="14.5" x14ac:dyDescent="0.35"/>
  <cols>
    <col min="1" max="1" width="7.81640625" customWidth="1"/>
    <col min="2" max="2" width="16.90625" customWidth="1"/>
    <col min="3" max="3" width="15.54296875" customWidth="1"/>
    <col min="4" max="4" width="27.90625" customWidth="1"/>
  </cols>
  <sheetData>
    <row r="1" spans="1:17" x14ac:dyDescent="0.35">
      <c r="A1" t="s">
        <v>30</v>
      </c>
      <c r="B1" s="5" t="s">
        <v>13</v>
      </c>
      <c r="C1" s="5" t="s">
        <v>14</v>
      </c>
      <c r="D1" s="5" t="s">
        <v>153</v>
      </c>
    </row>
    <row r="2" spans="1:17" x14ac:dyDescent="0.35">
      <c r="A2">
        <v>1</v>
      </c>
      <c r="B2" t="s">
        <v>29</v>
      </c>
      <c r="C2" s="2" t="s">
        <v>15</v>
      </c>
      <c r="D2">
        <v>2673500</v>
      </c>
    </row>
    <row r="3" spans="1:17" x14ac:dyDescent="0.35">
      <c r="A3">
        <v>2</v>
      </c>
      <c r="B3" t="s">
        <v>29</v>
      </c>
      <c r="C3" s="2" t="s">
        <v>16</v>
      </c>
      <c r="D3">
        <v>2955400</v>
      </c>
    </row>
    <row r="4" spans="1:17" x14ac:dyDescent="0.35">
      <c r="A4">
        <v>3</v>
      </c>
      <c r="B4" t="s">
        <v>29</v>
      </c>
      <c r="C4" s="2" t="s">
        <v>17</v>
      </c>
      <c r="D4">
        <v>3314900</v>
      </c>
    </row>
    <row r="5" spans="1:17" x14ac:dyDescent="0.35">
      <c r="A5">
        <v>4</v>
      </c>
      <c r="B5" t="s">
        <v>29</v>
      </c>
      <c r="C5" s="2" t="s">
        <v>18</v>
      </c>
      <c r="D5">
        <v>3678886</v>
      </c>
    </row>
    <row r="6" spans="1:17" x14ac:dyDescent="0.35">
      <c r="A6">
        <v>5</v>
      </c>
      <c r="B6" t="s">
        <v>29</v>
      </c>
      <c r="C6" s="3" t="s">
        <v>19</v>
      </c>
      <c r="D6">
        <v>4321773</v>
      </c>
    </row>
    <row r="7" spans="1:17" x14ac:dyDescent="0.35">
      <c r="A7">
        <v>6</v>
      </c>
      <c r="B7" t="s">
        <v>29</v>
      </c>
      <c r="C7" s="3" t="s">
        <v>20</v>
      </c>
      <c r="D7">
        <v>4345007</v>
      </c>
    </row>
    <row r="8" spans="1:17" x14ac:dyDescent="0.35">
      <c r="A8">
        <v>7</v>
      </c>
      <c r="B8" t="s">
        <v>29</v>
      </c>
      <c r="C8" s="3" t="s">
        <v>21</v>
      </c>
      <c r="D8">
        <v>4728082.2484859284</v>
      </c>
    </row>
    <row r="9" spans="1:17" x14ac:dyDescent="0.35">
      <c r="A9">
        <v>8</v>
      </c>
      <c r="B9" t="s">
        <v>29</v>
      </c>
      <c r="C9" s="3" t="s">
        <v>22</v>
      </c>
      <c r="D9">
        <v>5254769.8588167587</v>
      </c>
    </row>
    <row r="10" spans="1:17" x14ac:dyDescent="0.35">
      <c r="A10">
        <v>9</v>
      </c>
      <c r="B10" t="s">
        <v>29</v>
      </c>
      <c r="C10" s="3" t="s">
        <v>23</v>
      </c>
      <c r="D10">
        <v>5577694.9131578952</v>
      </c>
    </row>
    <row r="11" spans="1:17" x14ac:dyDescent="0.35">
      <c r="A11">
        <v>10</v>
      </c>
      <c r="B11" t="s">
        <v>29</v>
      </c>
      <c r="C11" s="3" t="s">
        <v>24</v>
      </c>
      <c r="D11">
        <v>4299583.2008396946</v>
      </c>
    </row>
    <row r="12" spans="1:17" x14ac:dyDescent="0.35">
      <c r="A12">
        <v>11</v>
      </c>
      <c r="B12" t="s">
        <v>29</v>
      </c>
      <c r="C12" s="3" t="s">
        <v>25</v>
      </c>
      <c r="D12">
        <v>4909791.6112095229</v>
      </c>
    </row>
    <row r="13" spans="1:17" x14ac:dyDescent="0.35">
      <c r="A13">
        <v>12</v>
      </c>
      <c r="B13" t="s">
        <v>29</v>
      </c>
      <c r="C13" s="3" t="s">
        <v>26</v>
      </c>
      <c r="D13">
        <v>5798289.0415077601</v>
      </c>
    </row>
    <row r="14" spans="1:17" x14ac:dyDescent="0.35">
      <c r="A14">
        <v>13</v>
      </c>
      <c r="B14" t="s">
        <v>29</v>
      </c>
      <c r="C14" s="3" t="s">
        <v>27</v>
      </c>
      <c r="D14">
        <v>6405717.1037376048</v>
      </c>
    </row>
    <row r="15" spans="1:17" x14ac:dyDescent="0.35">
      <c r="A15">
        <v>14</v>
      </c>
      <c r="B15" t="s">
        <v>29</v>
      </c>
      <c r="C15" s="3" t="s">
        <v>28</v>
      </c>
      <c r="D15">
        <v>6992062</v>
      </c>
    </row>
    <row r="16" spans="1:17" x14ac:dyDescent="0.35">
      <c r="A16">
        <v>15</v>
      </c>
      <c r="B16" t="s">
        <v>31</v>
      </c>
      <c r="C16" s="2" t="s">
        <v>15</v>
      </c>
      <c r="D16" s="4">
        <v>59892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4" x14ac:dyDescent="0.35">
      <c r="A17">
        <v>16</v>
      </c>
      <c r="B17" t="s">
        <v>31</v>
      </c>
      <c r="C17" s="2" t="s">
        <v>16</v>
      </c>
      <c r="D17">
        <v>46755</v>
      </c>
    </row>
    <row r="18" spans="1:4" x14ac:dyDescent="0.35">
      <c r="A18">
        <v>17</v>
      </c>
      <c r="B18" t="s">
        <v>31</v>
      </c>
      <c r="C18" s="2" t="s">
        <v>17</v>
      </c>
      <c r="D18">
        <v>60541</v>
      </c>
    </row>
    <row r="19" spans="1:4" x14ac:dyDescent="0.35">
      <c r="A19">
        <v>18</v>
      </c>
      <c r="B19" t="s">
        <v>31</v>
      </c>
      <c r="C19" s="2" t="s">
        <v>18</v>
      </c>
      <c r="D19">
        <v>52921</v>
      </c>
    </row>
    <row r="20" spans="1:4" x14ac:dyDescent="0.35">
      <c r="A20">
        <v>19</v>
      </c>
      <c r="B20" t="s">
        <v>31</v>
      </c>
      <c r="C20" s="3" t="s">
        <v>19</v>
      </c>
      <c r="D20">
        <v>51686</v>
      </c>
    </row>
    <row r="21" spans="1:4" x14ac:dyDescent="0.35">
      <c r="A21">
        <v>20</v>
      </c>
      <c r="B21" t="s">
        <v>31</v>
      </c>
      <c r="C21" s="3" t="s">
        <v>20</v>
      </c>
      <c r="D21">
        <v>71123</v>
      </c>
    </row>
    <row r="22" spans="1:4" x14ac:dyDescent="0.35">
      <c r="A22">
        <v>21</v>
      </c>
      <c r="B22" t="s">
        <v>31</v>
      </c>
      <c r="C22" s="3" t="s">
        <v>21</v>
      </c>
      <c r="D22">
        <v>67127</v>
      </c>
    </row>
    <row r="23" spans="1:4" x14ac:dyDescent="0.35">
      <c r="A23">
        <v>22</v>
      </c>
      <c r="B23" t="s">
        <v>31</v>
      </c>
      <c r="C23" s="3" t="s">
        <v>22</v>
      </c>
      <c r="D23">
        <v>69813</v>
      </c>
    </row>
    <row r="24" spans="1:4" x14ac:dyDescent="0.35">
      <c r="A24">
        <v>23</v>
      </c>
      <c r="B24" t="s">
        <v>31</v>
      </c>
      <c r="C24" s="3" t="s">
        <v>23</v>
      </c>
      <c r="D24">
        <v>75961</v>
      </c>
    </row>
    <row r="25" spans="1:4" x14ac:dyDescent="0.35">
      <c r="A25">
        <v>24</v>
      </c>
      <c r="B25" t="s">
        <v>31</v>
      </c>
      <c r="C25" s="3" t="s">
        <v>24</v>
      </c>
      <c r="D25">
        <v>64551</v>
      </c>
    </row>
    <row r="26" spans="1:4" x14ac:dyDescent="0.35">
      <c r="A26">
        <v>25</v>
      </c>
      <c r="B26" t="s">
        <v>31</v>
      </c>
      <c r="C26" s="3" t="s">
        <v>25</v>
      </c>
      <c r="D26">
        <v>55145.415531473591</v>
      </c>
    </row>
    <row r="27" spans="1:4" x14ac:dyDescent="0.35">
      <c r="A27">
        <v>26</v>
      </c>
      <c r="B27" t="s">
        <v>31</v>
      </c>
      <c r="C27" s="3" t="s">
        <v>26</v>
      </c>
      <c r="D27">
        <v>60404.121435661364</v>
      </c>
    </row>
    <row r="28" spans="1:4" x14ac:dyDescent="0.35">
      <c r="A28">
        <v>27</v>
      </c>
      <c r="B28" t="s">
        <v>31</v>
      </c>
      <c r="C28" s="3" t="s">
        <v>27</v>
      </c>
      <c r="D28">
        <v>63337.741636650397</v>
      </c>
    </row>
    <row r="29" spans="1:4" x14ac:dyDescent="0.35">
      <c r="A29">
        <v>28</v>
      </c>
      <c r="B29" t="s">
        <v>31</v>
      </c>
      <c r="C29" s="3" t="s">
        <v>28</v>
      </c>
      <c r="D29">
        <v>64100.257502384455</v>
      </c>
    </row>
    <row r="30" spans="1:4" x14ac:dyDescent="0.35">
      <c r="A30">
        <v>29</v>
      </c>
      <c r="B30" t="s">
        <v>32</v>
      </c>
      <c r="C30" s="2" t="s">
        <v>15</v>
      </c>
      <c r="D30">
        <v>2045676</v>
      </c>
    </row>
    <row r="31" spans="1:4" x14ac:dyDescent="0.35">
      <c r="A31">
        <v>30</v>
      </c>
      <c r="B31" t="s">
        <v>32</v>
      </c>
      <c r="C31" s="2" t="s">
        <v>16</v>
      </c>
      <c r="D31">
        <v>2127460</v>
      </c>
    </row>
    <row r="32" spans="1:4" x14ac:dyDescent="0.35">
      <c r="A32">
        <v>31</v>
      </c>
      <c r="B32" t="s">
        <v>32</v>
      </c>
      <c r="C32" s="2" t="s">
        <v>17</v>
      </c>
      <c r="D32">
        <v>2262227</v>
      </c>
    </row>
    <row r="33" spans="1:4" x14ac:dyDescent="0.35">
      <c r="A33">
        <v>32</v>
      </c>
      <c r="B33" t="s">
        <v>32</v>
      </c>
      <c r="C33" s="2" t="s">
        <v>18</v>
      </c>
      <c r="D33">
        <v>2534132</v>
      </c>
    </row>
    <row r="34" spans="1:4" x14ac:dyDescent="0.35">
      <c r="A34">
        <v>33</v>
      </c>
      <c r="B34" t="s">
        <v>32</v>
      </c>
      <c r="C34" s="2" t="s">
        <v>19</v>
      </c>
      <c r="D34">
        <v>2223850</v>
      </c>
    </row>
    <row r="35" spans="1:4" x14ac:dyDescent="0.35">
      <c r="A35">
        <v>34</v>
      </c>
      <c r="B35" t="s">
        <v>32</v>
      </c>
      <c r="C35" s="3" t="s">
        <v>20</v>
      </c>
      <c r="D35">
        <v>2206094</v>
      </c>
    </row>
    <row r="36" spans="1:4" x14ac:dyDescent="0.35">
      <c r="A36">
        <v>35</v>
      </c>
      <c r="B36" t="s">
        <v>32</v>
      </c>
      <c r="C36" s="3" t="s">
        <v>21</v>
      </c>
      <c r="D36">
        <v>2372154</v>
      </c>
    </row>
    <row r="37" spans="1:4" x14ac:dyDescent="0.35">
      <c r="A37">
        <v>36</v>
      </c>
      <c r="B37" t="s">
        <v>32</v>
      </c>
      <c r="C37" s="3" t="s">
        <v>22</v>
      </c>
      <c r="D37">
        <v>2313574</v>
      </c>
    </row>
    <row r="38" spans="1:4" x14ac:dyDescent="0.35">
      <c r="A38">
        <v>37</v>
      </c>
      <c r="B38" t="s">
        <v>32</v>
      </c>
      <c r="C38" s="3" t="s">
        <v>23</v>
      </c>
      <c r="D38">
        <v>2410026</v>
      </c>
    </row>
    <row r="39" spans="1:4" x14ac:dyDescent="0.35">
      <c r="A39">
        <v>38</v>
      </c>
      <c r="B39" t="s">
        <v>32</v>
      </c>
      <c r="C39" s="3" t="s">
        <v>24</v>
      </c>
      <c r="D39">
        <v>3778776</v>
      </c>
    </row>
    <row r="40" spans="1:4" x14ac:dyDescent="0.35">
      <c r="A40">
        <v>39</v>
      </c>
      <c r="B40" t="s">
        <v>32</v>
      </c>
      <c r="C40" s="3" t="s">
        <v>25</v>
      </c>
      <c r="D40">
        <v>1839162</v>
      </c>
    </row>
    <row r="41" spans="1:4" x14ac:dyDescent="0.35">
      <c r="A41">
        <v>40</v>
      </c>
      <c r="B41" t="s">
        <v>32</v>
      </c>
      <c r="C41" s="3" t="s">
        <v>26</v>
      </c>
      <c r="D41">
        <v>2020860.637576639</v>
      </c>
    </row>
    <row r="42" spans="1:4" x14ac:dyDescent="0.35">
      <c r="A42">
        <v>41</v>
      </c>
      <c r="B42" t="s">
        <v>32</v>
      </c>
      <c r="C42" s="3" t="s">
        <v>27</v>
      </c>
      <c r="D42">
        <v>2203697.8419222292</v>
      </c>
    </row>
    <row r="43" spans="1:4" x14ac:dyDescent="0.35">
      <c r="A43">
        <v>42</v>
      </c>
      <c r="B43" t="s">
        <v>32</v>
      </c>
      <c r="C43" s="3" t="s">
        <v>28</v>
      </c>
      <c r="D43">
        <v>2390247.1535241441</v>
      </c>
    </row>
    <row r="44" spans="1:4" x14ac:dyDescent="0.35">
      <c r="A44">
        <v>43</v>
      </c>
      <c r="B44" t="s">
        <v>33</v>
      </c>
      <c r="C44" s="2" t="s">
        <v>15</v>
      </c>
      <c r="D44">
        <v>4390442.0754727535</v>
      </c>
    </row>
    <row r="45" spans="1:4" x14ac:dyDescent="0.35">
      <c r="A45">
        <v>44</v>
      </c>
      <c r="B45" t="s">
        <v>33</v>
      </c>
      <c r="C45" s="2" t="s">
        <v>16</v>
      </c>
      <c r="D45">
        <v>4672877.2046314524</v>
      </c>
    </row>
    <row r="46" spans="1:4" x14ac:dyDescent="0.35">
      <c r="A46">
        <v>45</v>
      </c>
      <c r="B46" t="s">
        <v>33</v>
      </c>
      <c r="C46" s="2" t="s">
        <v>17</v>
      </c>
      <c r="D46">
        <v>4568274.688112624</v>
      </c>
    </row>
    <row r="47" spans="1:4" x14ac:dyDescent="0.35">
      <c r="A47">
        <v>46</v>
      </c>
      <c r="B47" t="s">
        <v>33</v>
      </c>
      <c r="C47" s="2" t="s">
        <v>18</v>
      </c>
      <c r="D47">
        <v>4262584.9216541424</v>
      </c>
    </row>
    <row r="48" spans="1:4" x14ac:dyDescent="0.35">
      <c r="A48">
        <v>47</v>
      </c>
      <c r="B48" t="s">
        <v>33</v>
      </c>
      <c r="C48" s="3" t="s">
        <v>19</v>
      </c>
      <c r="D48">
        <v>5042354.5978906136</v>
      </c>
    </row>
    <row r="49" spans="1:4" x14ac:dyDescent="0.35">
      <c r="A49">
        <v>48</v>
      </c>
      <c r="B49" t="s">
        <v>33</v>
      </c>
      <c r="C49" s="3" t="s">
        <v>20</v>
      </c>
      <c r="D49">
        <v>5445576.686857013</v>
      </c>
    </row>
    <row r="50" spans="1:4" x14ac:dyDescent="0.35">
      <c r="A50">
        <v>49</v>
      </c>
      <c r="B50" t="s">
        <v>33</v>
      </c>
      <c r="C50" s="3" t="s">
        <v>21</v>
      </c>
      <c r="D50">
        <v>6092899.7647150317</v>
      </c>
    </row>
    <row r="51" spans="1:4" x14ac:dyDescent="0.35">
      <c r="A51">
        <v>50</v>
      </c>
      <c r="B51" t="s">
        <v>33</v>
      </c>
      <c r="C51" s="3" t="s">
        <v>22</v>
      </c>
      <c r="D51">
        <v>6600717.7153148381</v>
      </c>
    </row>
    <row r="52" spans="1:4" x14ac:dyDescent="0.35">
      <c r="A52">
        <v>51</v>
      </c>
      <c r="B52" t="s">
        <v>33</v>
      </c>
      <c r="C52" s="3" t="s">
        <v>23</v>
      </c>
      <c r="D52">
        <v>6875796.8187053595</v>
      </c>
    </row>
    <row r="53" spans="1:4" x14ac:dyDescent="0.35">
      <c r="A53">
        <v>52</v>
      </c>
      <c r="B53" t="s">
        <v>33</v>
      </c>
      <c r="C53" s="3" t="s">
        <v>24</v>
      </c>
      <c r="D53">
        <v>5778900.2775752563</v>
      </c>
    </row>
    <row r="54" spans="1:4" x14ac:dyDescent="0.35">
      <c r="A54">
        <v>53</v>
      </c>
      <c r="B54" t="s">
        <v>33</v>
      </c>
      <c r="C54" s="6" t="s">
        <v>25</v>
      </c>
      <c r="D54">
        <v>5602045.3897529943</v>
      </c>
    </row>
    <row r="55" spans="1:4" x14ac:dyDescent="0.35">
      <c r="A55">
        <v>54</v>
      </c>
      <c r="B55" t="s">
        <v>33</v>
      </c>
      <c r="C55" s="6" t="s">
        <v>26</v>
      </c>
      <c r="D55">
        <v>6491113.0287696477</v>
      </c>
    </row>
    <row r="56" spans="1:4" x14ac:dyDescent="0.35">
      <c r="A56">
        <v>55</v>
      </c>
      <c r="B56" t="s">
        <v>33</v>
      </c>
      <c r="C56" s="6" t="s">
        <v>27</v>
      </c>
      <c r="D56">
        <v>6535861.6258689724</v>
      </c>
    </row>
    <row r="57" spans="1:4" x14ac:dyDescent="0.35">
      <c r="A57">
        <v>56</v>
      </c>
      <c r="B57" t="s">
        <v>33</v>
      </c>
      <c r="C57" s="6" t="s">
        <v>28</v>
      </c>
      <c r="D57">
        <v>6836466.0003745127</v>
      </c>
    </row>
    <row r="58" spans="1:4" x14ac:dyDescent="0.35">
      <c r="A58">
        <v>57</v>
      </c>
      <c r="B58" t="s">
        <v>34</v>
      </c>
      <c r="C58" s="2" t="s">
        <v>15</v>
      </c>
      <c r="D58">
        <v>614134</v>
      </c>
    </row>
    <row r="59" spans="1:4" x14ac:dyDescent="0.35">
      <c r="A59">
        <v>58</v>
      </c>
      <c r="B59" t="s">
        <v>34</v>
      </c>
      <c r="C59" s="2" t="s">
        <v>16</v>
      </c>
      <c r="D59">
        <v>682914.52299817128</v>
      </c>
    </row>
    <row r="60" spans="1:4" x14ac:dyDescent="0.35">
      <c r="A60">
        <v>59</v>
      </c>
      <c r="B60" t="s">
        <v>34</v>
      </c>
      <c r="C60" s="2" t="s">
        <v>17</v>
      </c>
      <c r="D60">
        <v>738834.56988859351</v>
      </c>
    </row>
    <row r="61" spans="1:4" x14ac:dyDescent="0.35">
      <c r="A61">
        <v>60</v>
      </c>
      <c r="B61" t="s">
        <v>34</v>
      </c>
      <c r="C61" s="2" t="s">
        <v>18</v>
      </c>
      <c r="D61">
        <v>754141.60003540898</v>
      </c>
    </row>
    <row r="62" spans="1:4" x14ac:dyDescent="0.35">
      <c r="A62">
        <v>61</v>
      </c>
      <c r="B62" t="s">
        <v>34</v>
      </c>
      <c r="C62" s="3" t="s">
        <v>19</v>
      </c>
      <c r="D62">
        <v>812027.45879714005</v>
      </c>
    </row>
    <row r="63" spans="1:4" x14ac:dyDescent="0.35">
      <c r="A63">
        <v>62</v>
      </c>
      <c r="B63" t="s">
        <v>34</v>
      </c>
      <c r="C63" s="3" t="s">
        <v>20</v>
      </c>
      <c r="D63">
        <v>897599.53493938502</v>
      </c>
    </row>
    <row r="64" spans="1:4" x14ac:dyDescent="0.35">
      <c r="A64">
        <v>63</v>
      </c>
      <c r="B64" t="s">
        <v>34</v>
      </c>
      <c r="C64" s="3" t="s">
        <v>21</v>
      </c>
      <c r="D64">
        <v>977879</v>
      </c>
    </row>
    <row r="65" spans="1:4" x14ac:dyDescent="0.35">
      <c r="A65">
        <v>64</v>
      </c>
      <c r="B65" t="s">
        <v>34</v>
      </c>
      <c r="C65" s="3" t="s">
        <v>22</v>
      </c>
      <c r="D65">
        <v>1053525</v>
      </c>
    </row>
    <row r="66" spans="1:4" x14ac:dyDescent="0.35">
      <c r="A66">
        <v>65</v>
      </c>
      <c r="B66" t="s">
        <v>34</v>
      </c>
      <c r="C66" s="3" t="s">
        <v>23</v>
      </c>
      <c r="D66">
        <v>1141776</v>
      </c>
    </row>
    <row r="67" spans="1:4" x14ac:dyDescent="0.35">
      <c r="A67">
        <v>66</v>
      </c>
      <c r="B67" t="s">
        <v>34</v>
      </c>
      <c r="C67" s="3" t="s">
        <v>24</v>
      </c>
      <c r="D67">
        <v>856789</v>
      </c>
    </row>
    <row r="68" spans="1:4" x14ac:dyDescent="0.35">
      <c r="A68">
        <v>67</v>
      </c>
      <c r="B68" t="s">
        <v>34</v>
      </c>
      <c r="C68" s="6" t="s">
        <v>25</v>
      </c>
      <c r="D68">
        <v>950529</v>
      </c>
    </row>
    <row r="69" spans="1:4" x14ac:dyDescent="0.35">
      <c r="A69">
        <v>68</v>
      </c>
      <c r="B69" t="s">
        <v>34</v>
      </c>
      <c r="C69" s="6" t="s">
        <v>26</v>
      </c>
      <c r="D69">
        <v>1078803</v>
      </c>
    </row>
    <row r="70" spans="1:4" x14ac:dyDescent="0.35">
      <c r="A70">
        <v>69</v>
      </c>
      <c r="B70" t="s">
        <v>34</v>
      </c>
      <c r="C70" s="6" t="s">
        <v>27</v>
      </c>
      <c r="D70">
        <v>1140548</v>
      </c>
    </row>
    <row r="71" spans="1:4" x14ac:dyDescent="0.35">
      <c r="A71">
        <v>70</v>
      </c>
      <c r="B71" t="s">
        <v>35</v>
      </c>
      <c r="C71" s="2" t="s">
        <v>15</v>
      </c>
      <c r="D71">
        <v>932617</v>
      </c>
    </row>
    <row r="72" spans="1:4" x14ac:dyDescent="0.35">
      <c r="A72">
        <v>71</v>
      </c>
      <c r="B72" t="s">
        <v>35</v>
      </c>
      <c r="C72" s="2" t="s">
        <v>16</v>
      </c>
      <c r="D72">
        <v>1021682</v>
      </c>
    </row>
    <row r="73" spans="1:4" x14ac:dyDescent="0.35">
      <c r="A73">
        <v>72</v>
      </c>
      <c r="B73" t="s">
        <v>35</v>
      </c>
      <c r="C73" s="2" t="s">
        <v>17</v>
      </c>
      <c r="D73">
        <v>1129497</v>
      </c>
    </row>
    <row r="74" spans="1:4" x14ac:dyDescent="0.35">
      <c r="A74">
        <v>73</v>
      </c>
      <c r="B74" t="s">
        <v>35</v>
      </c>
      <c r="C74" s="2" t="s">
        <v>18</v>
      </c>
      <c r="D74">
        <v>1154290</v>
      </c>
    </row>
    <row r="75" spans="1:4" x14ac:dyDescent="0.35">
      <c r="A75">
        <v>74</v>
      </c>
      <c r="B75" t="s">
        <v>35</v>
      </c>
      <c r="C75" s="3" t="s">
        <v>19</v>
      </c>
      <c r="D75">
        <v>1215208</v>
      </c>
    </row>
    <row r="76" spans="1:4" x14ac:dyDescent="0.35">
      <c r="A76">
        <v>75</v>
      </c>
      <c r="B76" t="s">
        <v>35</v>
      </c>
      <c r="C76" s="3" t="s">
        <v>20</v>
      </c>
      <c r="D76">
        <v>1538875</v>
      </c>
    </row>
    <row r="77" spans="1:4" x14ac:dyDescent="0.35">
      <c r="A77">
        <v>76</v>
      </c>
      <c r="B77" t="s">
        <v>35</v>
      </c>
      <c r="C77" s="3" t="s">
        <v>21</v>
      </c>
      <c r="D77">
        <v>1417566</v>
      </c>
    </row>
    <row r="78" spans="1:4" x14ac:dyDescent="0.35">
      <c r="A78">
        <v>77</v>
      </c>
      <c r="B78" t="s">
        <v>35</v>
      </c>
      <c r="C78" s="3" t="s">
        <v>22</v>
      </c>
      <c r="D78">
        <v>1558394</v>
      </c>
    </row>
    <row r="79" spans="1:4" x14ac:dyDescent="0.35">
      <c r="A79">
        <v>78</v>
      </c>
      <c r="B79" t="s">
        <v>35</v>
      </c>
      <c r="C79" s="3" t="s">
        <v>23</v>
      </c>
      <c r="D79">
        <v>1606573</v>
      </c>
    </row>
    <row r="80" spans="1:4" x14ac:dyDescent="0.35">
      <c r="A80">
        <v>79</v>
      </c>
      <c r="B80" t="s">
        <v>35</v>
      </c>
      <c r="C80" s="3" t="s">
        <v>24</v>
      </c>
      <c r="D80">
        <v>1218717</v>
      </c>
    </row>
    <row r="81" spans="1:4" x14ac:dyDescent="0.35">
      <c r="A81">
        <v>80</v>
      </c>
      <c r="B81" t="s">
        <v>35</v>
      </c>
      <c r="C81" s="6" t="s">
        <v>25</v>
      </c>
      <c r="D81">
        <v>1325511</v>
      </c>
    </row>
    <row r="82" spans="1:4" x14ac:dyDescent="0.35">
      <c r="A82">
        <v>81</v>
      </c>
      <c r="B82" t="s">
        <v>35</v>
      </c>
      <c r="C82" s="6" t="s">
        <v>26</v>
      </c>
      <c r="D82">
        <v>1643293</v>
      </c>
    </row>
    <row r="83" spans="1:4" x14ac:dyDescent="0.35">
      <c r="A83">
        <v>82</v>
      </c>
      <c r="B83" t="s">
        <v>35</v>
      </c>
      <c r="C83" s="6" t="s">
        <v>27</v>
      </c>
      <c r="D83">
        <v>1962075</v>
      </c>
    </row>
    <row r="84" spans="1:4" x14ac:dyDescent="0.35">
      <c r="A84">
        <v>83</v>
      </c>
      <c r="B84" t="s">
        <v>35</v>
      </c>
      <c r="C84" s="2" t="s">
        <v>28</v>
      </c>
      <c r="D84">
        <v>2237854</v>
      </c>
    </row>
    <row r="85" spans="1:4" x14ac:dyDescent="0.35">
      <c r="A85">
        <v>84</v>
      </c>
      <c r="B85" t="s">
        <v>36</v>
      </c>
      <c r="C85" s="2" t="s">
        <v>15</v>
      </c>
      <c r="D85">
        <v>4212068.2896999996</v>
      </c>
    </row>
    <row r="86" spans="1:4" x14ac:dyDescent="0.35">
      <c r="A86">
        <v>85</v>
      </c>
      <c r="B86" t="s">
        <v>36</v>
      </c>
      <c r="C86" s="2" t="s">
        <v>16</v>
      </c>
      <c r="D86">
        <v>4589076.6777809588</v>
      </c>
    </row>
    <row r="87" spans="1:4" x14ac:dyDescent="0.35">
      <c r="A87">
        <v>86</v>
      </c>
      <c r="B87" t="s">
        <v>36</v>
      </c>
      <c r="C87" s="2" t="s">
        <v>17</v>
      </c>
      <c r="D87">
        <v>5028155.7438359288</v>
      </c>
    </row>
    <row r="88" spans="1:4" x14ac:dyDescent="0.35">
      <c r="A88">
        <v>87</v>
      </c>
      <c r="B88" t="s">
        <v>36</v>
      </c>
      <c r="C88" s="2" t="s">
        <v>18</v>
      </c>
      <c r="D88">
        <v>5120382.9715650557</v>
      </c>
    </row>
    <row r="89" spans="1:4" x14ac:dyDescent="0.35">
      <c r="A89">
        <v>88</v>
      </c>
      <c r="B89" t="s">
        <v>36</v>
      </c>
      <c r="C89" s="3" t="s">
        <v>19</v>
      </c>
      <c r="D89">
        <v>5931557.7405671645</v>
      </c>
    </row>
    <row r="90" spans="1:4" x14ac:dyDescent="0.35">
      <c r="A90">
        <v>89</v>
      </c>
      <c r="B90" t="s">
        <v>36</v>
      </c>
      <c r="C90" s="3" t="s">
        <v>20</v>
      </c>
      <c r="D90">
        <v>6245681.784407692</v>
      </c>
    </row>
    <row r="91" spans="1:4" x14ac:dyDescent="0.35">
      <c r="A91">
        <v>90</v>
      </c>
      <c r="B91" t="s">
        <v>36</v>
      </c>
      <c r="C91" s="3" t="s">
        <v>21</v>
      </c>
      <c r="D91">
        <v>6820833.5879430678</v>
      </c>
    </row>
    <row r="92" spans="1:4" x14ac:dyDescent="0.35">
      <c r="A92">
        <v>91</v>
      </c>
      <c r="B92" t="s">
        <v>36</v>
      </c>
      <c r="C92" s="3" t="s">
        <v>22</v>
      </c>
      <c r="D92">
        <v>7520088.8551616296</v>
      </c>
    </row>
    <row r="93" spans="1:4" x14ac:dyDescent="0.35">
      <c r="A93">
        <v>92</v>
      </c>
      <c r="B93" t="s">
        <v>36</v>
      </c>
      <c r="C93" s="3" t="s">
        <v>23</v>
      </c>
      <c r="D93">
        <v>7947769.6794410832</v>
      </c>
    </row>
    <row r="94" spans="1:4" x14ac:dyDescent="0.35">
      <c r="A94">
        <v>93</v>
      </c>
      <c r="B94" t="s">
        <v>36</v>
      </c>
      <c r="C94" s="3" t="s">
        <v>24</v>
      </c>
      <c r="D94">
        <v>6143522.4062144086</v>
      </c>
    </row>
    <row r="95" spans="1:4" x14ac:dyDescent="0.35">
      <c r="A95">
        <v>94</v>
      </c>
      <c r="B95" t="s">
        <v>36</v>
      </c>
      <c r="C95" s="6" t="s">
        <v>25</v>
      </c>
      <c r="D95">
        <v>6608201.2175415605</v>
      </c>
    </row>
    <row r="96" spans="1:4" x14ac:dyDescent="0.35">
      <c r="A96">
        <v>95</v>
      </c>
      <c r="B96" t="s">
        <v>36</v>
      </c>
      <c r="C96" s="6" t="s">
        <v>26</v>
      </c>
      <c r="D96">
        <v>7330734.9132427601</v>
      </c>
    </row>
    <row r="97" spans="1:4" x14ac:dyDescent="0.35">
      <c r="A97">
        <v>96</v>
      </c>
      <c r="B97" t="s">
        <v>36</v>
      </c>
      <c r="C97" s="6" t="s">
        <v>27</v>
      </c>
      <c r="D97">
        <v>7967058.7539096298</v>
      </c>
    </row>
    <row r="98" spans="1:4" x14ac:dyDescent="0.35">
      <c r="A98">
        <v>97</v>
      </c>
      <c r="B98" t="s">
        <v>36</v>
      </c>
      <c r="C98" s="2" t="s">
        <v>28</v>
      </c>
      <c r="D98">
        <v>8498076.3314151894</v>
      </c>
    </row>
    <row r="99" spans="1:4" x14ac:dyDescent="0.35">
      <c r="A99">
        <v>98</v>
      </c>
      <c r="B99" t="s">
        <v>37</v>
      </c>
      <c r="C99" s="2" t="s">
        <v>15</v>
      </c>
      <c r="D99">
        <v>259614.6574</v>
      </c>
    </row>
    <row r="100" spans="1:4" x14ac:dyDescent="0.35">
      <c r="A100">
        <v>99</v>
      </c>
      <c r="B100" t="s">
        <v>37</v>
      </c>
      <c r="C100" s="2" t="s">
        <v>16</v>
      </c>
      <c r="D100">
        <v>238037.67700074485</v>
      </c>
    </row>
    <row r="101" spans="1:4" x14ac:dyDescent="0.35">
      <c r="A101">
        <v>100</v>
      </c>
      <c r="B101" t="s">
        <v>37</v>
      </c>
      <c r="C101" s="2" t="s">
        <v>17</v>
      </c>
      <c r="D101">
        <v>241585.24308472118</v>
      </c>
    </row>
    <row r="102" spans="1:4" x14ac:dyDescent="0.35">
      <c r="A102">
        <v>101</v>
      </c>
      <c r="B102" t="s">
        <v>37</v>
      </c>
      <c r="C102" s="2" t="s">
        <v>18</v>
      </c>
      <c r="D102">
        <v>250266.04485332652</v>
      </c>
    </row>
    <row r="103" spans="1:4" x14ac:dyDescent="0.35">
      <c r="A103">
        <v>102</v>
      </c>
      <c r="B103" t="s">
        <v>37</v>
      </c>
      <c r="C103" s="3" t="s">
        <v>19</v>
      </c>
      <c r="D103">
        <v>269968.8098391149</v>
      </c>
    </row>
    <row r="104" spans="1:4" x14ac:dyDescent="0.35">
      <c r="A104">
        <v>103</v>
      </c>
      <c r="B104" t="s">
        <v>37</v>
      </c>
      <c r="C104" s="3" t="s">
        <v>20</v>
      </c>
      <c r="D104">
        <v>314038.8561060846</v>
      </c>
    </row>
    <row r="105" spans="1:4" x14ac:dyDescent="0.35">
      <c r="A105">
        <v>104</v>
      </c>
      <c r="B105" t="s">
        <v>37</v>
      </c>
      <c r="C105" s="3" t="s">
        <v>21</v>
      </c>
      <c r="D105">
        <v>293828.19105098932</v>
      </c>
    </row>
    <row r="106" spans="1:4" x14ac:dyDescent="0.35">
      <c r="A106">
        <v>105</v>
      </c>
      <c r="B106" t="s">
        <v>37</v>
      </c>
      <c r="C106" s="3" t="s">
        <v>22</v>
      </c>
      <c r="D106">
        <v>380558.17543765868</v>
      </c>
    </row>
    <row r="107" spans="1:4" x14ac:dyDescent="0.35">
      <c r="A107">
        <v>106</v>
      </c>
      <c r="B107" t="s">
        <v>37</v>
      </c>
      <c r="C107" s="3" t="s">
        <v>23</v>
      </c>
      <c r="D107">
        <v>388523.9030906891</v>
      </c>
    </row>
    <row r="108" spans="1:4" x14ac:dyDescent="0.35">
      <c r="A108">
        <v>107</v>
      </c>
      <c r="B108" t="s">
        <v>37</v>
      </c>
      <c r="C108" s="3" t="s">
        <v>24</v>
      </c>
      <c r="D108">
        <v>300523.80825369031</v>
      </c>
    </row>
    <row r="109" spans="1:4" x14ac:dyDescent="0.35">
      <c r="A109">
        <v>108</v>
      </c>
      <c r="B109" t="s">
        <v>37</v>
      </c>
      <c r="C109" s="6" t="s">
        <v>25</v>
      </c>
      <c r="D109">
        <v>346133.58110344049</v>
      </c>
    </row>
    <row r="110" spans="1:4" x14ac:dyDescent="0.35">
      <c r="A110">
        <v>109</v>
      </c>
      <c r="B110" t="s">
        <v>37</v>
      </c>
      <c r="C110" s="6" t="s">
        <v>26</v>
      </c>
      <c r="D110">
        <v>444105.6098626834</v>
      </c>
    </row>
    <row r="111" spans="1:4" x14ac:dyDescent="0.35">
      <c r="A111">
        <v>110</v>
      </c>
      <c r="B111" t="s">
        <v>37</v>
      </c>
      <c r="C111" s="6" t="s">
        <v>27</v>
      </c>
      <c r="D111">
        <v>487812.48665978957</v>
      </c>
    </row>
    <row r="112" spans="1:4" x14ac:dyDescent="0.35">
      <c r="A112">
        <v>111</v>
      </c>
      <c r="B112" t="s">
        <v>38</v>
      </c>
      <c r="C112" s="2" t="s">
        <v>15</v>
      </c>
      <c r="D112">
        <v>6646396.1412174683</v>
      </c>
    </row>
    <row r="113" spans="1:4" x14ac:dyDescent="0.35">
      <c r="A113">
        <v>112</v>
      </c>
      <c r="B113" t="s">
        <v>38</v>
      </c>
      <c r="C113" s="2" t="s">
        <v>16</v>
      </c>
      <c r="D113">
        <v>7862424.1099105859</v>
      </c>
    </row>
    <row r="114" spans="1:4" x14ac:dyDescent="0.35">
      <c r="A114">
        <v>113</v>
      </c>
      <c r="B114" t="s">
        <v>38</v>
      </c>
      <c r="C114" s="2" t="s">
        <v>17</v>
      </c>
      <c r="D114">
        <v>8098296.8332079034</v>
      </c>
    </row>
    <row r="115" spans="1:4" x14ac:dyDescent="0.35">
      <c r="A115">
        <v>114</v>
      </c>
      <c r="B115" t="s">
        <v>38</v>
      </c>
      <c r="C115" s="2" t="s">
        <v>18</v>
      </c>
      <c r="D115">
        <v>8932421.4070283175</v>
      </c>
    </row>
    <row r="116" spans="1:4" x14ac:dyDescent="0.35">
      <c r="A116">
        <v>115</v>
      </c>
      <c r="B116" t="s">
        <v>38</v>
      </c>
      <c r="C116" s="3" t="s">
        <v>19</v>
      </c>
      <c r="D116">
        <v>9575555.7483343557</v>
      </c>
    </row>
    <row r="117" spans="1:4" x14ac:dyDescent="0.35">
      <c r="A117">
        <v>116</v>
      </c>
      <c r="B117" t="s">
        <v>38</v>
      </c>
      <c r="C117" s="3" t="s">
        <v>20</v>
      </c>
      <c r="D117">
        <v>10648017.992147803</v>
      </c>
    </row>
    <row r="118" spans="1:4" x14ac:dyDescent="0.35">
      <c r="A118">
        <v>117</v>
      </c>
      <c r="B118" t="s">
        <v>38</v>
      </c>
      <c r="C118" s="3" t="s">
        <v>21</v>
      </c>
      <c r="D118">
        <v>11957724.205181982</v>
      </c>
    </row>
    <row r="119" spans="1:4" x14ac:dyDescent="0.35">
      <c r="A119">
        <v>118</v>
      </c>
      <c r="B119" t="s">
        <v>38</v>
      </c>
      <c r="C119" s="3" t="s">
        <v>22</v>
      </c>
      <c r="D119">
        <v>13344820.21298309</v>
      </c>
    </row>
    <row r="120" spans="1:4" x14ac:dyDescent="0.35">
      <c r="A120">
        <v>119</v>
      </c>
      <c r="B120" t="s">
        <v>38</v>
      </c>
      <c r="C120" s="3" t="s">
        <v>23</v>
      </c>
      <c r="D120">
        <v>14616581.579280401</v>
      </c>
    </row>
    <row r="121" spans="1:4" x14ac:dyDescent="0.35">
      <c r="A121">
        <v>120</v>
      </c>
      <c r="B121" t="s">
        <v>38</v>
      </c>
      <c r="C121" s="3" t="s">
        <v>24</v>
      </c>
      <c r="D121">
        <v>12832721.00283399</v>
      </c>
    </row>
    <row r="122" spans="1:4" x14ac:dyDescent="0.35">
      <c r="A122">
        <v>121</v>
      </c>
      <c r="B122" t="s">
        <v>38</v>
      </c>
      <c r="C122" s="6" t="s">
        <v>25</v>
      </c>
      <c r="D122">
        <v>13857576.237788081</v>
      </c>
    </row>
    <row r="123" spans="1:4" x14ac:dyDescent="0.35">
      <c r="A123">
        <v>122</v>
      </c>
      <c r="B123" t="s">
        <v>38</v>
      </c>
      <c r="C123" s="6" t="s">
        <v>26</v>
      </c>
      <c r="D123">
        <v>15315062.104721718</v>
      </c>
    </row>
    <row r="124" spans="1:4" x14ac:dyDescent="0.35">
      <c r="A124">
        <v>123</v>
      </c>
      <c r="B124" t="s">
        <v>38</v>
      </c>
      <c r="C124" s="6" t="s">
        <v>27</v>
      </c>
      <c r="D124">
        <v>17034178.898538545</v>
      </c>
    </row>
    <row r="125" spans="1:4" x14ac:dyDescent="0.35">
      <c r="A125">
        <v>124</v>
      </c>
      <c r="B125" t="s">
        <v>39</v>
      </c>
      <c r="C125" s="2" t="s">
        <v>15</v>
      </c>
      <c r="D125">
        <v>3310741.617737371</v>
      </c>
    </row>
    <row r="126" spans="1:4" x14ac:dyDescent="0.35">
      <c r="A126">
        <v>125</v>
      </c>
      <c r="B126" t="s">
        <v>39</v>
      </c>
      <c r="C126" s="2" t="s">
        <v>16</v>
      </c>
      <c r="D126">
        <v>3623928.6121909963</v>
      </c>
    </row>
    <row r="127" spans="1:4" x14ac:dyDescent="0.35">
      <c r="A127">
        <v>126</v>
      </c>
      <c r="B127" t="s">
        <v>39</v>
      </c>
      <c r="C127" s="2" t="s">
        <v>17</v>
      </c>
      <c r="D127">
        <v>3843440.4661615668</v>
      </c>
    </row>
    <row r="128" spans="1:4" x14ac:dyDescent="0.35">
      <c r="A128">
        <v>127</v>
      </c>
      <c r="B128" t="s">
        <v>39</v>
      </c>
      <c r="C128" s="2" t="s">
        <v>18</v>
      </c>
      <c r="D128">
        <v>4309744.1106291274</v>
      </c>
    </row>
    <row r="129" spans="1:4" x14ac:dyDescent="0.35">
      <c r="A129">
        <v>128</v>
      </c>
      <c r="B129" t="s">
        <v>39</v>
      </c>
      <c r="C129" s="3" t="s">
        <v>19</v>
      </c>
      <c r="D129">
        <v>5032464.7987791523</v>
      </c>
    </row>
    <row r="130" spans="1:4" x14ac:dyDescent="0.35">
      <c r="A130">
        <v>129</v>
      </c>
      <c r="B130" t="s">
        <v>39</v>
      </c>
      <c r="C130" s="3" t="s">
        <v>20</v>
      </c>
      <c r="D130">
        <v>5598673.4366213623</v>
      </c>
    </row>
    <row r="131" spans="1:4" x14ac:dyDescent="0.35">
      <c r="A131">
        <v>130</v>
      </c>
      <c r="B131" t="s">
        <v>39</v>
      </c>
      <c r="C131" s="3" t="s">
        <v>21</v>
      </c>
      <c r="D131">
        <v>6264536.0859739911</v>
      </c>
    </row>
    <row r="132" spans="1:4" x14ac:dyDescent="0.35">
      <c r="A132">
        <v>131</v>
      </c>
      <c r="B132" t="s">
        <v>39</v>
      </c>
      <c r="C132" s="3" t="s">
        <v>22</v>
      </c>
      <c r="D132">
        <v>6927780.0111257723</v>
      </c>
    </row>
    <row r="133" spans="1:4" x14ac:dyDescent="0.35">
      <c r="A133">
        <v>132</v>
      </c>
      <c r="B133" t="s">
        <v>39</v>
      </c>
      <c r="C133" s="3" t="s">
        <v>23</v>
      </c>
      <c r="D133">
        <v>7440278.4579740576</v>
      </c>
    </row>
    <row r="134" spans="1:4" x14ac:dyDescent="0.35">
      <c r="A134">
        <v>133</v>
      </c>
      <c r="B134" t="s">
        <v>39</v>
      </c>
      <c r="C134" s="3" t="s">
        <v>24</v>
      </c>
      <c r="D134">
        <v>5948636.0576334512</v>
      </c>
    </row>
    <row r="135" spans="1:4" x14ac:dyDescent="0.35">
      <c r="A135">
        <v>134</v>
      </c>
      <c r="B135" t="s">
        <v>39</v>
      </c>
      <c r="C135" s="6" t="s">
        <v>25</v>
      </c>
      <c r="D135">
        <v>6538523.1898796503</v>
      </c>
    </row>
    <row r="136" spans="1:4" x14ac:dyDescent="0.35">
      <c r="A136">
        <v>135</v>
      </c>
      <c r="B136" t="s">
        <v>39</v>
      </c>
      <c r="C136" s="6" t="s">
        <v>26</v>
      </c>
      <c r="D136">
        <v>7288426.3363480819</v>
      </c>
    </row>
    <row r="137" spans="1:4" x14ac:dyDescent="0.35">
      <c r="A137">
        <v>136</v>
      </c>
      <c r="B137" t="s">
        <v>39</v>
      </c>
      <c r="C137" s="6" t="s">
        <v>27</v>
      </c>
      <c r="D137">
        <v>8077333.1398421843</v>
      </c>
    </row>
    <row r="138" spans="1:4" x14ac:dyDescent="0.35">
      <c r="A138">
        <v>137</v>
      </c>
      <c r="B138" t="s">
        <v>39</v>
      </c>
      <c r="C138" s="6" t="s">
        <v>28</v>
      </c>
      <c r="D138">
        <v>8766200.612905968</v>
      </c>
    </row>
    <row r="139" spans="1:4" x14ac:dyDescent="0.35">
      <c r="A139">
        <v>138</v>
      </c>
      <c r="B139" t="s">
        <v>40</v>
      </c>
      <c r="C139" s="2" t="s">
        <v>15</v>
      </c>
      <c r="D139">
        <v>456828.6238031211</v>
      </c>
    </row>
    <row r="140" spans="1:4" x14ac:dyDescent="0.35">
      <c r="A140">
        <v>139</v>
      </c>
      <c r="B140" t="s">
        <v>40</v>
      </c>
      <c r="C140" s="2" t="s">
        <v>16</v>
      </c>
      <c r="D140">
        <v>475494.52990059392</v>
      </c>
    </row>
    <row r="141" spans="1:4" x14ac:dyDescent="0.35">
      <c r="A141">
        <v>140</v>
      </c>
      <c r="B141" t="s">
        <v>40</v>
      </c>
      <c r="C141" s="2" t="s">
        <v>17</v>
      </c>
      <c r="D141">
        <v>507916.08685638389</v>
      </c>
    </row>
    <row r="142" spans="1:4" x14ac:dyDescent="0.35">
      <c r="A142">
        <v>141</v>
      </c>
      <c r="B142" t="s">
        <v>40</v>
      </c>
      <c r="C142" s="2" t="s">
        <v>18</v>
      </c>
      <c r="D142">
        <v>566701.56947093853</v>
      </c>
    </row>
    <row r="143" spans="1:4" x14ac:dyDescent="0.35">
      <c r="A143">
        <v>142</v>
      </c>
      <c r="B143" t="s">
        <v>40</v>
      </c>
      <c r="C143" s="3" t="s">
        <v>19</v>
      </c>
      <c r="D143">
        <v>647428.16820385505</v>
      </c>
    </row>
    <row r="144" spans="1:4" x14ac:dyDescent="0.35">
      <c r="A144">
        <v>143</v>
      </c>
      <c r="B144" t="s">
        <v>40</v>
      </c>
      <c r="C144" s="3" t="s">
        <v>20</v>
      </c>
      <c r="D144">
        <v>683934.72370552528</v>
      </c>
    </row>
    <row r="145" spans="1:4" x14ac:dyDescent="0.35">
      <c r="A145">
        <v>144</v>
      </c>
      <c r="B145" t="s">
        <v>40</v>
      </c>
      <c r="C145" s="3" t="s">
        <v>21</v>
      </c>
      <c r="D145">
        <v>740544.64159479341</v>
      </c>
    </row>
    <row r="146" spans="1:4" x14ac:dyDescent="0.35">
      <c r="A146">
        <v>145</v>
      </c>
      <c r="B146" t="s">
        <v>40</v>
      </c>
      <c r="C146" s="3" t="s">
        <v>22</v>
      </c>
      <c r="D146">
        <v>790768.11140086898</v>
      </c>
    </row>
    <row r="147" spans="1:4" x14ac:dyDescent="0.35">
      <c r="A147">
        <v>146</v>
      </c>
      <c r="B147" t="s">
        <v>40</v>
      </c>
      <c r="C147" s="3" t="s">
        <v>23</v>
      </c>
      <c r="D147">
        <v>863668.08200968755</v>
      </c>
    </row>
    <row r="148" spans="1:4" x14ac:dyDescent="0.35">
      <c r="A148">
        <v>147</v>
      </c>
      <c r="B148" t="s">
        <v>40</v>
      </c>
      <c r="C148" s="3" t="s">
        <v>24</v>
      </c>
      <c r="D148">
        <v>872056.20154958719</v>
      </c>
    </row>
    <row r="149" spans="1:4" x14ac:dyDescent="0.35">
      <c r="A149">
        <v>148</v>
      </c>
      <c r="B149" t="s">
        <v>40</v>
      </c>
      <c r="C149" s="6" t="s">
        <v>25</v>
      </c>
      <c r="D149">
        <v>875257.09502325475</v>
      </c>
    </row>
    <row r="150" spans="1:4" x14ac:dyDescent="0.35">
      <c r="A150">
        <v>149</v>
      </c>
      <c r="B150" t="s">
        <v>40</v>
      </c>
      <c r="C150" s="6" t="s">
        <v>26</v>
      </c>
      <c r="D150">
        <v>960671.55552284629</v>
      </c>
    </row>
    <row r="151" spans="1:4" x14ac:dyDescent="0.35">
      <c r="A151">
        <v>150</v>
      </c>
      <c r="B151" t="s">
        <v>40</v>
      </c>
      <c r="C151" s="6" t="s">
        <v>27</v>
      </c>
      <c r="D151">
        <v>1087133.1764015693</v>
      </c>
    </row>
    <row r="152" spans="1:4" x14ac:dyDescent="0.35">
      <c r="A152">
        <v>151</v>
      </c>
      <c r="B152" t="s">
        <v>40</v>
      </c>
      <c r="C152" s="6" t="s">
        <v>28</v>
      </c>
      <c r="D152">
        <v>1130040.6457738269</v>
      </c>
    </row>
    <row r="153" spans="1:4" x14ac:dyDescent="0.35">
      <c r="A153">
        <v>152</v>
      </c>
      <c r="B153" t="s">
        <v>41</v>
      </c>
      <c r="C153" s="2" t="s">
        <v>15</v>
      </c>
      <c r="D153">
        <v>667074.20150667301</v>
      </c>
    </row>
    <row r="154" spans="1:4" x14ac:dyDescent="0.35">
      <c r="A154">
        <v>153</v>
      </c>
      <c r="B154" t="s">
        <v>41</v>
      </c>
      <c r="C154" s="2" t="s">
        <v>16</v>
      </c>
      <c r="D154">
        <v>751709.40132935822</v>
      </c>
    </row>
    <row r="155" spans="1:4" x14ac:dyDescent="0.35">
      <c r="A155">
        <v>154</v>
      </c>
      <c r="B155" t="s">
        <v>41</v>
      </c>
      <c r="C155" s="2" t="s">
        <v>17</v>
      </c>
      <c r="D155">
        <v>787767.01529095357</v>
      </c>
    </row>
    <row r="156" spans="1:4" x14ac:dyDescent="0.35">
      <c r="A156">
        <v>155</v>
      </c>
      <c r="B156" t="s">
        <v>41</v>
      </c>
      <c r="C156" s="2" t="s">
        <v>18</v>
      </c>
      <c r="D156">
        <v>765735.15664710593</v>
      </c>
    </row>
    <row r="157" spans="1:4" x14ac:dyDescent="0.35">
      <c r="A157">
        <v>156</v>
      </c>
      <c r="B157" t="s">
        <v>41</v>
      </c>
      <c r="C157" s="3" t="s">
        <v>19</v>
      </c>
      <c r="D157">
        <v>857054.2028445428</v>
      </c>
    </row>
    <row r="158" spans="1:4" x14ac:dyDescent="0.35">
      <c r="A158">
        <v>157</v>
      </c>
      <c r="B158" t="s">
        <v>41</v>
      </c>
      <c r="C158" s="3" t="s">
        <v>20</v>
      </c>
      <c r="D158">
        <v>911073.10200459196</v>
      </c>
    </row>
    <row r="159" spans="1:4" x14ac:dyDescent="0.35">
      <c r="A159">
        <v>158</v>
      </c>
      <c r="B159" t="s">
        <v>41</v>
      </c>
      <c r="C159" s="3" t="s">
        <v>21</v>
      </c>
      <c r="D159">
        <v>1012473.4145453667</v>
      </c>
    </row>
    <row r="160" spans="1:4" x14ac:dyDescent="0.35">
      <c r="A160">
        <v>159</v>
      </c>
      <c r="B160" t="s">
        <v>41</v>
      </c>
      <c r="C160" s="3" t="s">
        <v>22</v>
      </c>
      <c r="D160">
        <v>1103135.499531883</v>
      </c>
    </row>
    <row r="161" spans="1:4" x14ac:dyDescent="0.35">
      <c r="A161">
        <v>160</v>
      </c>
      <c r="B161" t="s">
        <v>41</v>
      </c>
      <c r="C161" s="3" t="s">
        <v>23</v>
      </c>
      <c r="D161">
        <v>1102206.8966411876</v>
      </c>
    </row>
    <row r="162" spans="1:4" x14ac:dyDescent="0.35">
      <c r="A162">
        <v>161</v>
      </c>
      <c r="B162" t="s">
        <v>41</v>
      </c>
      <c r="C162" s="3" t="s">
        <v>24</v>
      </c>
      <c r="D162">
        <v>781600.31019631226</v>
      </c>
    </row>
    <row r="163" spans="1:4" x14ac:dyDescent="0.35">
      <c r="A163">
        <v>162</v>
      </c>
      <c r="B163" t="s">
        <v>41</v>
      </c>
      <c r="C163" s="6" t="s">
        <v>25</v>
      </c>
      <c r="D163">
        <v>941257.81405905983</v>
      </c>
    </row>
    <row r="164" spans="1:4" x14ac:dyDescent="0.35">
      <c r="A164">
        <v>163</v>
      </c>
      <c r="B164" t="s">
        <v>41</v>
      </c>
      <c r="C164" s="6" t="s">
        <v>26</v>
      </c>
      <c r="D164">
        <v>1106154.1721227937</v>
      </c>
    </row>
    <row r="165" spans="1:4" x14ac:dyDescent="0.35">
      <c r="A165">
        <v>164</v>
      </c>
      <c r="B165" t="s">
        <v>41</v>
      </c>
      <c r="C165" s="6" t="s">
        <v>27</v>
      </c>
      <c r="D165">
        <v>1114971.5157860918</v>
      </c>
    </row>
    <row r="166" spans="1:4" x14ac:dyDescent="0.35">
      <c r="A166">
        <v>165</v>
      </c>
      <c r="B166" t="s">
        <v>41</v>
      </c>
      <c r="C166" s="6" t="s">
        <v>28</v>
      </c>
      <c r="D166">
        <v>1194096.4883010585</v>
      </c>
    </row>
    <row r="167" spans="1:4" x14ac:dyDescent="0.35">
      <c r="A167">
        <v>166</v>
      </c>
      <c r="B167" t="s">
        <v>42</v>
      </c>
      <c r="C167" s="2" t="s">
        <v>15</v>
      </c>
      <c r="D167">
        <v>1152143</v>
      </c>
    </row>
    <row r="168" spans="1:4" x14ac:dyDescent="0.35">
      <c r="A168">
        <v>167</v>
      </c>
      <c r="B168" t="s">
        <v>42</v>
      </c>
      <c r="C168" s="2" t="s">
        <v>16</v>
      </c>
      <c r="D168">
        <v>1287305</v>
      </c>
    </row>
    <row r="169" spans="1:4" x14ac:dyDescent="0.35">
      <c r="A169">
        <v>168</v>
      </c>
      <c r="B169" t="s">
        <v>42</v>
      </c>
      <c r="C169" s="2" t="s">
        <v>17</v>
      </c>
      <c r="D169">
        <v>1400566</v>
      </c>
    </row>
    <row r="170" spans="1:4" x14ac:dyDescent="0.35">
      <c r="A170">
        <v>169</v>
      </c>
      <c r="B170" t="s">
        <v>42</v>
      </c>
      <c r="C170" s="2" t="s">
        <v>18</v>
      </c>
      <c r="D170">
        <v>1549332</v>
      </c>
    </row>
    <row r="171" spans="1:4" x14ac:dyDescent="0.35">
      <c r="A171">
        <v>170</v>
      </c>
      <c r="B171" t="s">
        <v>42</v>
      </c>
      <c r="C171" s="3" t="s">
        <v>19</v>
      </c>
      <c r="D171">
        <v>1777188</v>
      </c>
    </row>
    <row r="172" spans="1:4" x14ac:dyDescent="0.35">
      <c r="A172">
        <v>171</v>
      </c>
      <c r="B172" t="s">
        <v>42</v>
      </c>
      <c r="C172" s="3" t="s">
        <v>20</v>
      </c>
      <c r="D172">
        <v>2017464</v>
      </c>
    </row>
    <row r="173" spans="1:4" x14ac:dyDescent="0.35">
      <c r="A173">
        <v>172</v>
      </c>
      <c r="B173" t="s">
        <v>42</v>
      </c>
      <c r="C173" s="3" t="s">
        <v>21</v>
      </c>
      <c r="D173">
        <v>2275871</v>
      </c>
    </row>
    <row r="174" spans="1:4" x14ac:dyDescent="0.35">
      <c r="A174">
        <v>173</v>
      </c>
      <c r="B174" t="s">
        <v>42</v>
      </c>
      <c r="C174" s="3" t="s">
        <v>22</v>
      </c>
      <c r="D174">
        <v>2656896</v>
      </c>
    </row>
    <row r="175" spans="1:4" x14ac:dyDescent="0.35">
      <c r="A175">
        <v>174</v>
      </c>
      <c r="B175" t="s">
        <v>42</v>
      </c>
      <c r="C175" s="3" t="s">
        <v>23</v>
      </c>
      <c r="D175">
        <v>2928867</v>
      </c>
    </row>
    <row r="176" spans="1:4" x14ac:dyDescent="0.35">
      <c r="A176">
        <v>175</v>
      </c>
      <c r="B176" t="s">
        <v>42</v>
      </c>
      <c r="C176" s="3" t="s">
        <v>24</v>
      </c>
      <c r="D176">
        <v>2423282</v>
      </c>
    </row>
    <row r="177" spans="1:4" x14ac:dyDescent="0.35">
      <c r="A177">
        <v>176</v>
      </c>
      <c r="B177" t="s">
        <v>42</v>
      </c>
      <c r="C177" s="6" t="s">
        <v>25</v>
      </c>
      <c r="D177">
        <v>2567872</v>
      </c>
    </row>
    <row r="178" spans="1:4" x14ac:dyDescent="0.35">
      <c r="A178">
        <v>177</v>
      </c>
      <c r="B178" t="s">
        <v>42</v>
      </c>
      <c r="C178" s="6" t="s">
        <v>26</v>
      </c>
      <c r="D178">
        <v>3001476</v>
      </c>
    </row>
    <row r="179" spans="1:4" x14ac:dyDescent="0.35">
      <c r="A179">
        <v>178</v>
      </c>
      <c r="B179" t="s">
        <v>42</v>
      </c>
      <c r="C179" s="6" t="s">
        <v>27</v>
      </c>
      <c r="D179">
        <v>3113077</v>
      </c>
    </row>
    <row r="180" spans="1:4" x14ac:dyDescent="0.35">
      <c r="A180">
        <v>179</v>
      </c>
      <c r="B180" t="s">
        <v>42</v>
      </c>
      <c r="C180" s="6" t="s">
        <v>28</v>
      </c>
      <c r="D180">
        <v>3244628</v>
      </c>
    </row>
    <row r="181" spans="1:4" x14ac:dyDescent="0.35">
      <c r="A181">
        <v>180</v>
      </c>
      <c r="B181" t="s">
        <v>43</v>
      </c>
      <c r="C181" s="2" t="s">
        <v>15</v>
      </c>
      <c r="D181">
        <v>6044366.9995430242</v>
      </c>
    </row>
    <row r="182" spans="1:4" x14ac:dyDescent="0.35">
      <c r="A182">
        <v>181</v>
      </c>
      <c r="B182" t="s">
        <v>43</v>
      </c>
      <c r="C182" s="2" t="s">
        <v>16</v>
      </c>
      <c r="D182">
        <v>6441601.6856466215</v>
      </c>
    </row>
    <row r="183" spans="1:4" x14ac:dyDescent="0.35">
      <c r="A183">
        <v>182</v>
      </c>
      <c r="B183" t="s">
        <v>43</v>
      </c>
      <c r="C183" s="2" t="s">
        <v>17</v>
      </c>
      <c r="D183">
        <v>7093957.794866791</v>
      </c>
    </row>
    <row r="184" spans="1:4" x14ac:dyDescent="0.35">
      <c r="A184">
        <v>183</v>
      </c>
      <c r="B184" t="s">
        <v>43</v>
      </c>
      <c r="C184" s="2" t="s">
        <v>18</v>
      </c>
      <c r="D184">
        <v>7560180.8915575091</v>
      </c>
    </row>
    <row r="185" spans="1:4" x14ac:dyDescent="0.35">
      <c r="A185">
        <v>184</v>
      </c>
      <c r="B185" t="s">
        <v>43</v>
      </c>
      <c r="C185" s="3" t="s">
        <v>19</v>
      </c>
      <c r="D185">
        <v>7734152.4663601657</v>
      </c>
    </row>
    <row r="186" spans="1:4" x14ac:dyDescent="0.35">
      <c r="A186">
        <v>185</v>
      </c>
      <c r="B186" t="s">
        <v>43</v>
      </c>
      <c r="C186" s="3" t="s">
        <v>20</v>
      </c>
      <c r="D186">
        <v>8557165.2977815568</v>
      </c>
    </row>
    <row r="187" spans="1:4" x14ac:dyDescent="0.35">
      <c r="A187">
        <v>186</v>
      </c>
      <c r="B187" t="s">
        <v>43</v>
      </c>
      <c r="C187" s="3" t="s">
        <v>21</v>
      </c>
      <c r="D187">
        <v>9686849.9269641601</v>
      </c>
    </row>
    <row r="188" spans="1:4" x14ac:dyDescent="0.35">
      <c r="A188">
        <v>187</v>
      </c>
      <c r="B188" t="s">
        <v>43</v>
      </c>
      <c r="C188" s="3" t="s">
        <v>22</v>
      </c>
      <c r="D188">
        <v>11058684.182117753</v>
      </c>
    </row>
    <row r="189" spans="1:4" x14ac:dyDescent="0.35">
      <c r="A189">
        <v>188</v>
      </c>
      <c r="B189" t="s">
        <v>43</v>
      </c>
      <c r="C189" s="3" t="s">
        <v>23</v>
      </c>
      <c r="D189">
        <v>11720487.390868409</v>
      </c>
    </row>
    <row r="190" spans="1:4" x14ac:dyDescent="0.35">
      <c r="A190">
        <v>189</v>
      </c>
      <c r="B190" t="s">
        <v>43</v>
      </c>
      <c r="C190" s="3" t="s">
        <v>24</v>
      </c>
      <c r="D190">
        <v>8758051.5031056572</v>
      </c>
    </row>
    <row r="191" spans="1:4" x14ac:dyDescent="0.35">
      <c r="A191">
        <v>190</v>
      </c>
      <c r="B191" t="s">
        <v>43</v>
      </c>
      <c r="C191" s="6" t="s">
        <v>25</v>
      </c>
      <c r="D191">
        <v>10398481.898575382</v>
      </c>
    </row>
    <row r="192" spans="1:4" x14ac:dyDescent="0.35">
      <c r="A192">
        <v>191</v>
      </c>
      <c r="B192" t="s">
        <v>43</v>
      </c>
      <c r="C192" s="6" t="s">
        <v>26</v>
      </c>
      <c r="D192">
        <v>12533065.872745266</v>
      </c>
    </row>
    <row r="193" spans="1:4" x14ac:dyDescent="0.35">
      <c r="A193">
        <v>192</v>
      </c>
      <c r="B193" t="s">
        <v>43</v>
      </c>
      <c r="C193" s="6" t="s">
        <v>27</v>
      </c>
      <c r="D193">
        <v>12975635.648943339</v>
      </c>
    </row>
    <row r="194" spans="1:4" x14ac:dyDescent="0.35">
      <c r="A194">
        <v>193</v>
      </c>
      <c r="B194" t="s">
        <v>43</v>
      </c>
      <c r="C194" s="6" t="s">
        <v>28</v>
      </c>
      <c r="D194">
        <v>13736566.484778646</v>
      </c>
    </row>
    <row r="195" spans="1:4" x14ac:dyDescent="0.35">
      <c r="A195">
        <v>194</v>
      </c>
      <c r="B195" t="s">
        <v>44</v>
      </c>
      <c r="C195" s="2" t="s">
        <v>15</v>
      </c>
      <c r="D195">
        <v>5321692</v>
      </c>
    </row>
    <row r="196" spans="1:4" x14ac:dyDescent="0.35">
      <c r="A196">
        <v>195</v>
      </c>
      <c r="B196" t="s">
        <v>44</v>
      </c>
      <c r="C196" s="2" t="s">
        <v>16</v>
      </c>
      <c r="D196">
        <v>6056645</v>
      </c>
    </row>
    <row r="197" spans="1:4" x14ac:dyDescent="0.35">
      <c r="A197">
        <v>196</v>
      </c>
      <c r="B197" t="s">
        <v>44</v>
      </c>
      <c r="C197" s="2" t="s">
        <v>17</v>
      </c>
      <c r="D197">
        <v>6191493.030330006</v>
      </c>
    </row>
    <row r="198" spans="1:4" x14ac:dyDescent="0.35">
      <c r="A198">
        <v>197</v>
      </c>
      <c r="B198" t="s">
        <v>44</v>
      </c>
      <c r="C198" s="2" t="s">
        <v>18</v>
      </c>
      <c r="D198">
        <v>6572440.757842645</v>
      </c>
    </row>
    <row r="199" spans="1:4" x14ac:dyDescent="0.35">
      <c r="A199">
        <v>198</v>
      </c>
      <c r="B199" t="s">
        <v>44</v>
      </c>
      <c r="C199" s="3" t="s">
        <v>19</v>
      </c>
      <c r="D199">
        <v>7068460.6552736768</v>
      </c>
    </row>
    <row r="200" spans="1:4" x14ac:dyDescent="0.35">
      <c r="A200">
        <v>199</v>
      </c>
      <c r="B200" t="s">
        <v>44</v>
      </c>
      <c r="C200" s="3" t="s">
        <v>20</v>
      </c>
      <c r="D200">
        <v>7188898.7931963196</v>
      </c>
    </row>
    <row r="201" spans="1:4" x14ac:dyDescent="0.35">
      <c r="A201">
        <v>200</v>
      </c>
      <c r="B201" t="s">
        <v>44</v>
      </c>
      <c r="C201" s="3" t="s">
        <v>21</v>
      </c>
      <c r="D201">
        <v>7738372.9679139778</v>
      </c>
    </row>
    <row r="202" spans="1:4" x14ac:dyDescent="0.35">
      <c r="A202">
        <v>201</v>
      </c>
      <c r="B202" t="s">
        <v>44</v>
      </c>
      <c r="C202" s="3" t="s">
        <v>22</v>
      </c>
      <c r="D202">
        <v>8545827.5356922913</v>
      </c>
    </row>
    <row r="203" spans="1:4" x14ac:dyDescent="0.35">
      <c r="A203">
        <v>202</v>
      </c>
      <c r="B203" t="s">
        <v>44</v>
      </c>
      <c r="C203" s="3" t="s">
        <v>23</v>
      </c>
      <c r="D203">
        <v>9117190.7279445753</v>
      </c>
    </row>
    <row r="204" spans="1:4" x14ac:dyDescent="0.35">
      <c r="A204">
        <v>203</v>
      </c>
      <c r="B204" t="s">
        <v>44</v>
      </c>
      <c r="C204" s="3" t="s">
        <v>24</v>
      </c>
      <c r="D204">
        <v>6885193.8308616234</v>
      </c>
    </row>
    <row r="205" spans="1:4" x14ac:dyDescent="0.35">
      <c r="A205">
        <v>204</v>
      </c>
      <c r="B205" t="s">
        <v>44</v>
      </c>
      <c r="C205" s="6" t="s">
        <v>25</v>
      </c>
      <c r="D205">
        <v>8349769.0653998749</v>
      </c>
    </row>
    <row r="206" spans="1:4" x14ac:dyDescent="0.35">
      <c r="A206">
        <v>205</v>
      </c>
      <c r="B206" t="s">
        <v>44</v>
      </c>
      <c r="C206" s="6" t="s">
        <v>26</v>
      </c>
      <c r="D206">
        <v>9924364.738347223</v>
      </c>
    </row>
    <row r="207" spans="1:4" x14ac:dyDescent="0.35">
      <c r="A207">
        <v>206</v>
      </c>
      <c r="B207" t="s">
        <v>44</v>
      </c>
      <c r="C207" s="6" t="s">
        <v>27</v>
      </c>
      <c r="D207">
        <v>10329246.319483049</v>
      </c>
    </row>
    <row r="208" spans="1:4" x14ac:dyDescent="0.35">
      <c r="A208">
        <v>207</v>
      </c>
      <c r="B208" t="s">
        <v>44</v>
      </c>
      <c r="C208" s="6" t="s">
        <v>28</v>
      </c>
      <c r="D208">
        <v>11560960.452795554</v>
      </c>
    </row>
    <row r="209" spans="1:4" x14ac:dyDescent="0.35">
      <c r="A209">
        <v>208</v>
      </c>
      <c r="B209" t="s">
        <v>45</v>
      </c>
      <c r="C209" s="2" t="s">
        <v>15</v>
      </c>
      <c r="D209">
        <v>3378935</v>
      </c>
    </row>
    <row r="210" spans="1:4" x14ac:dyDescent="0.35">
      <c r="A210">
        <v>209</v>
      </c>
      <c r="B210" t="s">
        <v>45</v>
      </c>
      <c r="C210" s="2" t="s">
        <v>16</v>
      </c>
      <c r="D210">
        <v>3747267</v>
      </c>
    </row>
    <row r="211" spans="1:4" x14ac:dyDescent="0.35">
      <c r="A211">
        <v>210</v>
      </c>
      <c r="B211" t="s">
        <v>45</v>
      </c>
      <c r="C211" s="2" t="s">
        <v>17</v>
      </c>
      <c r="D211">
        <v>3890257</v>
      </c>
    </row>
    <row r="212" spans="1:4" x14ac:dyDescent="0.35">
      <c r="A212">
        <v>211</v>
      </c>
      <c r="B212" t="s">
        <v>45</v>
      </c>
      <c r="C212" s="2" t="s">
        <v>18</v>
      </c>
      <c r="D212">
        <v>4062768</v>
      </c>
    </row>
    <row r="213" spans="1:4" x14ac:dyDescent="0.35">
      <c r="A213">
        <v>212</v>
      </c>
      <c r="B213" t="s">
        <v>45</v>
      </c>
      <c r="C213" s="3" t="s">
        <v>19</v>
      </c>
      <c r="D213">
        <v>4287194</v>
      </c>
    </row>
    <row r="214" spans="1:4" x14ac:dyDescent="0.35">
      <c r="A214">
        <v>213</v>
      </c>
      <c r="B214" t="s">
        <v>45</v>
      </c>
      <c r="C214" s="3" t="s">
        <v>20</v>
      </c>
      <c r="D214">
        <v>4830781</v>
      </c>
    </row>
    <row r="215" spans="1:4" x14ac:dyDescent="0.35">
      <c r="A215">
        <v>214</v>
      </c>
      <c r="B215" t="s">
        <v>45</v>
      </c>
      <c r="C215" s="3" t="s">
        <v>21</v>
      </c>
      <c r="D215">
        <v>5282407</v>
      </c>
    </row>
    <row r="216" spans="1:4" x14ac:dyDescent="0.35">
      <c r="A216">
        <v>215</v>
      </c>
      <c r="B216" t="s">
        <v>45</v>
      </c>
      <c r="C216" s="3" t="s">
        <v>22</v>
      </c>
      <c r="D216">
        <v>6079542</v>
      </c>
    </row>
    <row r="217" spans="1:4" x14ac:dyDescent="0.35">
      <c r="A217">
        <v>216</v>
      </c>
      <c r="B217" t="s">
        <v>45</v>
      </c>
      <c r="C217" s="3" t="s">
        <v>23</v>
      </c>
      <c r="D217">
        <v>6301514</v>
      </c>
    </row>
    <row r="218" spans="1:4" x14ac:dyDescent="0.35">
      <c r="A218">
        <v>217</v>
      </c>
      <c r="B218" t="s">
        <v>45</v>
      </c>
      <c r="C218" s="3" t="s">
        <v>24</v>
      </c>
      <c r="D218">
        <v>4838760</v>
      </c>
    </row>
    <row r="219" spans="1:4" x14ac:dyDescent="0.35">
      <c r="A219">
        <v>218</v>
      </c>
      <c r="B219" t="s">
        <v>45</v>
      </c>
      <c r="C219" s="6" t="s">
        <v>25</v>
      </c>
      <c r="D219">
        <v>5695609</v>
      </c>
    </row>
    <row r="220" spans="1:4" x14ac:dyDescent="0.35">
      <c r="A220">
        <v>219</v>
      </c>
      <c r="B220" t="s">
        <v>45</v>
      </c>
      <c r="C220" s="6" t="s">
        <v>26</v>
      </c>
      <c r="D220">
        <v>6471506</v>
      </c>
    </row>
    <row r="221" spans="1:4" x14ac:dyDescent="0.35">
      <c r="A221">
        <v>220</v>
      </c>
      <c r="B221" t="s">
        <v>45</v>
      </c>
      <c r="C221" s="6" t="s">
        <v>27</v>
      </c>
      <c r="D221">
        <v>6560080</v>
      </c>
    </row>
    <row r="222" spans="1:4" x14ac:dyDescent="0.35">
      <c r="A222">
        <v>221</v>
      </c>
      <c r="B222" t="s">
        <v>45</v>
      </c>
      <c r="C222" s="6" t="s">
        <v>28</v>
      </c>
      <c r="D222">
        <v>7150281</v>
      </c>
    </row>
    <row r="223" spans="1:4" x14ac:dyDescent="0.35">
      <c r="A223">
        <v>222</v>
      </c>
      <c r="B223" t="s">
        <v>46</v>
      </c>
      <c r="C223" s="2" t="s">
        <v>15</v>
      </c>
      <c r="D223">
        <v>10560912.413861036</v>
      </c>
    </row>
    <row r="224" spans="1:4" x14ac:dyDescent="0.35">
      <c r="A224">
        <v>223</v>
      </c>
      <c r="B224" t="s">
        <v>46</v>
      </c>
      <c r="C224" s="2" t="s">
        <v>16</v>
      </c>
      <c r="D224">
        <v>11681538.933889072</v>
      </c>
    </row>
    <row r="225" spans="1:4" x14ac:dyDescent="0.35">
      <c r="A225">
        <v>224</v>
      </c>
      <c r="B225" t="s">
        <v>46</v>
      </c>
      <c r="C225" s="2" t="s">
        <v>17</v>
      </c>
      <c r="D225">
        <v>11513192.41030558</v>
      </c>
    </row>
    <row r="226" spans="1:4" x14ac:dyDescent="0.35">
      <c r="A226">
        <v>225</v>
      </c>
      <c r="B226" t="s">
        <v>46</v>
      </c>
      <c r="C226" s="2" t="s">
        <v>18</v>
      </c>
      <c r="D226">
        <v>11887258.426090142</v>
      </c>
    </row>
    <row r="227" spans="1:4" x14ac:dyDescent="0.35">
      <c r="A227">
        <v>226</v>
      </c>
      <c r="B227" t="s">
        <v>46</v>
      </c>
      <c r="C227" s="3" t="s">
        <v>19</v>
      </c>
      <c r="D227">
        <v>11940631.392670158</v>
      </c>
    </row>
    <row r="228" spans="1:4" x14ac:dyDescent="0.35">
      <c r="A228">
        <v>227</v>
      </c>
      <c r="B228" t="s">
        <v>46</v>
      </c>
      <c r="C228" s="3" t="s">
        <v>20</v>
      </c>
      <c r="D228">
        <v>13409917.378223112</v>
      </c>
    </row>
    <row r="229" spans="1:4" x14ac:dyDescent="0.35">
      <c r="A229">
        <v>228</v>
      </c>
      <c r="B229" t="s">
        <v>46</v>
      </c>
      <c r="C229" s="3" t="s">
        <v>21</v>
      </c>
      <c r="D229">
        <v>14504738.590643274</v>
      </c>
    </row>
    <row r="230" spans="1:4" x14ac:dyDescent="0.35">
      <c r="A230">
        <v>229</v>
      </c>
      <c r="B230" t="s">
        <v>46</v>
      </c>
      <c r="C230" s="3" t="s">
        <v>22</v>
      </c>
      <c r="D230">
        <v>16410747.667601509</v>
      </c>
    </row>
    <row r="231" spans="1:4" x14ac:dyDescent="0.35">
      <c r="A231">
        <v>230</v>
      </c>
      <c r="B231" t="s">
        <v>46</v>
      </c>
      <c r="C231" s="3" t="s">
        <v>23</v>
      </c>
      <c r="D231">
        <v>16931707.334131099</v>
      </c>
    </row>
    <row r="232" spans="1:4" x14ac:dyDescent="0.35">
      <c r="A232">
        <v>231</v>
      </c>
      <c r="B232" t="s">
        <v>46</v>
      </c>
      <c r="C232" s="3" t="s">
        <v>24</v>
      </c>
      <c r="D232">
        <v>12519903.149360277</v>
      </c>
    </row>
    <row r="233" spans="1:4" x14ac:dyDescent="0.35">
      <c r="A233">
        <v>232</v>
      </c>
      <c r="B233" t="s">
        <v>46</v>
      </c>
      <c r="C233" s="6" t="s">
        <v>25</v>
      </c>
      <c r="D233">
        <v>14665376.108949048</v>
      </c>
    </row>
    <row r="234" spans="1:4" x14ac:dyDescent="0.35">
      <c r="A234">
        <v>233</v>
      </c>
      <c r="B234" t="s">
        <v>46</v>
      </c>
      <c r="C234" s="6" t="s">
        <v>26</v>
      </c>
      <c r="D234">
        <v>16744694.408131713</v>
      </c>
    </row>
    <row r="235" spans="1:4" x14ac:dyDescent="0.35">
      <c r="A235">
        <v>234</v>
      </c>
      <c r="B235" t="s">
        <v>46</v>
      </c>
      <c r="C235" s="6" t="s">
        <v>27</v>
      </c>
      <c r="D235">
        <v>17628320.704196434</v>
      </c>
    </row>
    <row r="236" spans="1:4" x14ac:dyDescent="0.35">
      <c r="A236">
        <v>235</v>
      </c>
      <c r="B236" t="s">
        <v>46</v>
      </c>
      <c r="C236" s="6" t="s">
        <v>28</v>
      </c>
      <c r="D236">
        <v>18550728.94625264</v>
      </c>
    </row>
    <row r="237" spans="1:4" x14ac:dyDescent="0.35">
      <c r="A237">
        <v>236</v>
      </c>
      <c r="B237" t="s">
        <v>47</v>
      </c>
      <c r="C237" s="2" t="s">
        <v>15</v>
      </c>
      <c r="D237">
        <v>156450</v>
      </c>
    </row>
    <row r="238" spans="1:4" x14ac:dyDescent="0.35">
      <c r="A238">
        <v>237</v>
      </c>
      <c r="B238" t="s">
        <v>47</v>
      </c>
      <c r="C238" s="2" t="s">
        <v>16</v>
      </c>
      <c r="D238">
        <v>130915</v>
      </c>
    </row>
    <row r="239" spans="1:4" x14ac:dyDescent="0.35">
      <c r="A239">
        <v>238</v>
      </c>
      <c r="B239" t="s">
        <v>47</v>
      </c>
      <c r="C239" s="2" t="s">
        <v>17</v>
      </c>
      <c r="D239">
        <v>190705</v>
      </c>
    </row>
    <row r="240" spans="1:4" x14ac:dyDescent="0.35">
      <c r="A240">
        <v>239</v>
      </c>
      <c r="B240" t="s">
        <v>47</v>
      </c>
      <c r="C240" s="2" t="s">
        <v>18</v>
      </c>
      <c r="D240">
        <v>203972</v>
      </c>
    </row>
    <row r="241" spans="1:4" x14ac:dyDescent="0.35">
      <c r="A241">
        <v>240</v>
      </c>
      <c r="B241" t="s">
        <v>47</v>
      </c>
      <c r="C241" s="3" t="s">
        <v>19</v>
      </c>
      <c r="D241">
        <v>237194</v>
      </c>
    </row>
    <row r="242" spans="1:4" x14ac:dyDescent="0.35">
      <c r="A242">
        <v>241</v>
      </c>
      <c r="B242" t="s">
        <v>47</v>
      </c>
      <c r="C242" s="3" t="s">
        <v>20</v>
      </c>
      <c r="D242">
        <v>256129</v>
      </c>
    </row>
    <row r="243" spans="1:4" x14ac:dyDescent="0.35">
      <c r="A243">
        <v>242</v>
      </c>
      <c r="B243" t="s">
        <v>47</v>
      </c>
      <c r="C243" s="3" t="s">
        <v>21</v>
      </c>
      <c r="D243">
        <v>283085</v>
      </c>
    </row>
    <row r="244" spans="1:4" x14ac:dyDescent="0.35">
      <c r="A244">
        <v>243</v>
      </c>
      <c r="B244" t="s">
        <v>47</v>
      </c>
      <c r="C244" s="3" t="s">
        <v>22</v>
      </c>
      <c r="D244">
        <v>307748</v>
      </c>
    </row>
    <row r="245" spans="1:4" x14ac:dyDescent="0.35">
      <c r="A245">
        <v>244</v>
      </c>
      <c r="B245" t="s">
        <v>47</v>
      </c>
      <c r="C245" s="3" t="s">
        <v>23</v>
      </c>
      <c r="D245">
        <v>327129</v>
      </c>
    </row>
    <row r="246" spans="1:4" x14ac:dyDescent="0.35">
      <c r="A246">
        <v>245</v>
      </c>
      <c r="B246" t="s">
        <v>47</v>
      </c>
      <c r="C246" s="3" t="s">
        <v>24</v>
      </c>
      <c r="D246">
        <v>253188</v>
      </c>
    </row>
    <row r="247" spans="1:4" x14ac:dyDescent="0.35">
      <c r="A247">
        <v>246</v>
      </c>
      <c r="B247" t="s">
        <v>47</v>
      </c>
      <c r="C247" s="6" t="s">
        <v>25</v>
      </c>
      <c r="D247">
        <v>282501</v>
      </c>
    </row>
    <row r="248" spans="1:4" x14ac:dyDescent="0.35">
      <c r="A248">
        <v>247</v>
      </c>
      <c r="B248" t="s">
        <v>47</v>
      </c>
      <c r="C248" s="6" t="s">
        <v>26</v>
      </c>
      <c r="D248">
        <v>315717</v>
      </c>
    </row>
    <row r="249" spans="1:4" x14ac:dyDescent="0.35">
      <c r="A249">
        <v>248</v>
      </c>
      <c r="B249" t="s">
        <v>47</v>
      </c>
      <c r="C249" s="6" t="s">
        <v>27</v>
      </c>
      <c r="D249">
        <v>337426</v>
      </c>
    </row>
    <row r="250" spans="1:4" x14ac:dyDescent="0.35">
      <c r="A250">
        <v>249</v>
      </c>
      <c r="B250" t="s">
        <v>48</v>
      </c>
      <c r="C250" s="2" t="s">
        <v>15</v>
      </c>
      <c r="D250">
        <v>258057.6466255764</v>
      </c>
    </row>
    <row r="251" spans="1:4" x14ac:dyDescent="0.35">
      <c r="A251">
        <v>250</v>
      </c>
      <c r="B251" t="s">
        <v>48</v>
      </c>
      <c r="C251" s="2" t="s">
        <v>16</v>
      </c>
      <c r="D251">
        <v>298977.5992739416</v>
      </c>
    </row>
    <row r="252" spans="1:4" x14ac:dyDescent="0.35">
      <c r="A252">
        <v>251</v>
      </c>
      <c r="B252" t="s">
        <v>48</v>
      </c>
      <c r="C252" s="2" t="s">
        <v>17</v>
      </c>
      <c r="D252">
        <v>328737.50910511828</v>
      </c>
    </row>
    <row r="253" spans="1:4" x14ac:dyDescent="0.35">
      <c r="A253">
        <v>252</v>
      </c>
      <c r="B253" t="s">
        <v>48</v>
      </c>
      <c r="C253" s="2" t="s">
        <v>18</v>
      </c>
      <c r="D253">
        <v>336505.20133436134</v>
      </c>
    </row>
    <row r="254" spans="1:4" x14ac:dyDescent="0.35">
      <c r="A254">
        <v>253</v>
      </c>
      <c r="B254" t="s">
        <v>48</v>
      </c>
      <c r="C254" s="3" t="s">
        <v>19</v>
      </c>
      <c r="D254">
        <v>394421.95503598254</v>
      </c>
    </row>
    <row r="255" spans="1:4" x14ac:dyDescent="0.35">
      <c r="A255">
        <v>254</v>
      </c>
      <c r="B255" t="s">
        <v>48</v>
      </c>
      <c r="C255" s="3" t="s">
        <v>20</v>
      </c>
      <c r="D255">
        <v>446270.09966690303</v>
      </c>
    </row>
    <row r="256" spans="1:4" x14ac:dyDescent="0.35">
      <c r="A256">
        <v>255</v>
      </c>
      <c r="B256" t="s">
        <v>48</v>
      </c>
      <c r="C256" s="3" t="s">
        <v>21</v>
      </c>
      <c r="D256">
        <v>498906.23787697143</v>
      </c>
    </row>
    <row r="257" spans="1:4" x14ac:dyDescent="0.35">
      <c r="A257">
        <v>256</v>
      </c>
      <c r="B257" t="s">
        <v>48</v>
      </c>
      <c r="C257" s="3" t="s">
        <v>22</v>
      </c>
      <c r="D257">
        <v>572363.228758201</v>
      </c>
    </row>
    <row r="258" spans="1:4" x14ac:dyDescent="0.35">
      <c r="A258">
        <v>257</v>
      </c>
      <c r="B258" t="s">
        <v>48</v>
      </c>
      <c r="C258" s="3" t="s">
        <v>23</v>
      </c>
      <c r="D258">
        <v>628937.75943055796</v>
      </c>
    </row>
    <row r="259" spans="1:4" x14ac:dyDescent="0.35">
      <c r="A259">
        <v>258</v>
      </c>
      <c r="B259" t="s">
        <v>48</v>
      </c>
      <c r="C259" s="3" t="s">
        <v>24</v>
      </c>
      <c r="D259">
        <v>525772.63196214824</v>
      </c>
    </row>
    <row r="260" spans="1:4" x14ac:dyDescent="0.35">
      <c r="A260">
        <v>259</v>
      </c>
      <c r="B260" t="s">
        <v>48</v>
      </c>
      <c r="C260" s="6" t="s">
        <v>25</v>
      </c>
      <c r="D260">
        <v>540262.62920485577</v>
      </c>
    </row>
    <row r="261" spans="1:4" x14ac:dyDescent="0.35">
      <c r="A261">
        <v>260</v>
      </c>
      <c r="B261" t="s">
        <v>48</v>
      </c>
      <c r="C261" s="6" t="s">
        <v>26</v>
      </c>
      <c r="D261">
        <v>607956.70772636845</v>
      </c>
    </row>
    <row r="262" spans="1:4" x14ac:dyDescent="0.35">
      <c r="A262">
        <v>261</v>
      </c>
      <c r="B262" t="s">
        <v>48</v>
      </c>
      <c r="C262" s="6" t="s">
        <v>27</v>
      </c>
      <c r="D262">
        <v>663599.5408214397</v>
      </c>
    </row>
    <row r="263" spans="1:4" x14ac:dyDescent="0.35">
      <c r="A263">
        <v>262</v>
      </c>
      <c r="B263" t="s">
        <v>48</v>
      </c>
      <c r="C263" s="7" t="s">
        <v>28</v>
      </c>
      <c r="D263">
        <v>712269.23382039741</v>
      </c>
    </row>
    <row r="264" spans="1:4" x14ac:dyDescent="0.35">
      <c r="A264">
        <v>263</v>
      </c>
      <c r="B264" t="s">
        <v>49</v>
      </c>
      <c r="C264" s="2" t="s">
        <v>15</v>
      </c>
      <c r="D264">
        <v>76482</v>
      </c>
    </row>
    <row r="265" spans="1:4" x14ac:dyDescent="0.35">
      <c r="A265">
        <v>264</v>
      </c>
      <c r="B265" t="s">
        <v>49</v>
      </c>
      <c r="C265" s="2" t="s">
        <v>16</v>
      </c>
      <c r="D265">
        <v>91962</v>
      </c>
    </row>
    <row r="266" spans="1:4" x14ac:dyDescent="0.35">
      <c r="A266">
        <v>265</v>
      </c>
      <c r="B266" t="s">
        <v>49</v>
      </c>
      <c r="C266" s="2" t="s">
        <v>17</v>
      </c>
      <c r="D266">
        <v>95240</v>
      </c>
    </row>
    <row r="267" spans="1:4" x14ac:dyDescent="0.35">
      <c r="A267">
        <v>266</v>
      </c>
      <c r="B267" t="s">
        <v>49</v>
      </c>
      <c r="C267" s="2" t="s">
        <v>18</v>
      </c>
      <c r="D267">
        <v>104821</v>
      </c>
    </row>
    <row r="268" spans="1:4" x14ac:dyDescent="0.35">
      <c r="A268">
        <v>267</v>
      </c>
      <c r="B268" t="s">
        <v>49</v>
      </c>
      <c r="C268" s="3" t="s">
        <v>19</v>
      </c>
      <c r="D268">
        <v>129144</v>
      </c>
    </row>
    <row r="269" spans="1:4" x14ac:dyDescent="0.35">
      <c r="A269">
        <v>268</v>
      </c>
      <c r="B269" t="s">
        <v>49</v>
      </c>
      <c r="C269" s="3" t="s">
        <v>20</v>
      </c>
      <c r="D269">
        <v>160617.31283985541</v>
      </c>
    </row>
    <row r="270" spans="1:4" x14ac:dyDescent="0.35">
      <c r="A270">
        <v>269</v>
      </c>
      <c r="B270" t="s">
        <v>49</v>
      </c>
      <c r="C270" s="3" t="s">
        <v>21</v>
      </c>
      <c r="D270">
        <v>187624.82301581616</v>
      </c>
    </row>
    <row r="271" spans="1:4" x14ac:dyDescent="0.35">
      <c r="A271">
        <v>270</v>
      </c>
      <c r="B271" t="s">
        <v>49</v>
      </c>
      <c r="C271" s="3" t="s">
        <v>22</v>
      </c>
      <c r="D271">
        <v>218659.81289683835</v>
      </c>
    </row>
    <row r="272" spans="1:4" x14ac:dyDescent="0.35">
      <c r="A272">
        <v>271</v>
      </c>
      <c r="B272" t="s">
        <v>49</v>
      </c>
      <c r="C272" s="3" t="s">
        <v>23</v>
      </c>
      <c r="D272">
        <v>247947</v>
      </c>
    </row>
    <row r="273" spans="1:4" x14ac:dyDescent="0.35">
      <c r="A273">
        <v>272</v>
      </c>
      <c r="B273" t="s">
        <v>49</v>
      </c>
      <c r="C273" s="3" t="s">
        <v>24</v>
      </c>
      <c r="D273">
        <v>207396.14465875772</v>
      </c>
    </row>
    <row r="274" spans="1:4" x14ac:dyDescent="0.35">
      <c r="A274">
        <v>273</v>
      </c>
      <c r="B274" t="s">
        <v>49</v>
      </c>
      <c r="C274" s="6" t="s">
        <v>25</v>
      </c>
      <c r="D274">
        <v>273800.70523496089</v>
      </c>
    </row>
    <row r="275" spans="1:4" x14ac:dyDescent="0.35">
      <c r="A275">
        <v>274</v>
      </c>
      <c r="B275" t="s">
        <v>49</v>
      </c>
      <c r="C275" s="6" t="s">
        <v>26</v>
      </c>
      <c r="D275">
        <v>349486.70986017428</v>
      </c>
    </row>
    <row r="276" spans="1:4" x14ac:dyDescent="0.35">
      <c r="A276">
        <v>275</v>
      </c>
      <c r="B276" t="s">
        <v>49</v>
      </c>
      <c r="C276" s="6" t="s">
        <v>27</v>
      </c>
      <c r="D276">
        <v>388938.08458970953</v>
      </c>
    </row>
    <row r="277" spans="1:4" x14ac:dyDescent="0.35">
      <c r="A277">
        <v>276</v>
      </c>
      <c r="B277" t="s">
        <v>50</v>
      </c>
      <c r="C277" s="2" t="s">
        <v>15</v>
      </c>
      <c r="D277">
        <v>105152.389</v>
      </c>
    </row>
    <row r="278" spans="1:4" x14ac:dyDescent="0.35">
      <c r="A278">
        <v>277</v>
      </c>
      <c r="B278" t="s">
        <v>50</v>
      </c>
      <c r="C278" s="2" t="s">
        <v>16</v>
      </c>
      <c r="D278">
        <v>113536.60119328614</v>
      </c>
    </row>
    <row r="279" spans="1:4" x14ac:dyDescent="0.35">
      <c r="A279">
        <v>278</v>
      </c>
      <c r="B279" t="s">
        <v>50</v>
      </c>
      <c r="C279" s="2" t="s">
        <v>17</v>
      </c>
      <c r="D279">
        <v>108460.41932994805</v>
      </c>
    </row>
    <row r="280" spans="1:4" x14ac:dyDescent="0.35">
      <c r="A280">
        <v>279</v>
      </c>
      <c r="B280" t="s">
        <v>50</v>
      </c>
      <c r="C280" s="2" t="s">
        <v>18</v>
      </c>
      <c r="D280">
        <v>110940.3986</v>
      </c>
    </row>
    <row r="281" spans="1:4" x14ac:dyDescent="0.35">
      <c r="A281">
        <v>280</v>
      </c>
      <c r="B281" t="s">
        <v>50</v>
      </c>
      <c r="C281" s="3" t="s">
        <v>19</v>
      </c>
      <c r="D281">
        <v>127678.54362861204</v>
      </c>
    </row>
    <row r="282" spans="1:4" x14ac:dyDescent="0.35">
      <c r="A282">
        <v>281</v>
      </c>
      <c r="B282" t="s">
        <v>50</v>
      </c>
      <c r="C282" s="3" t="s">
        <v>20</v>
      </c>
      <c r="D282">
        <v>126118.73814238566</v>
      </c>
    </row>
    <row r="283" spans="1:4" x14ac:dyDescent="0.35">
      <c r="A283">
        <v>282</v>
      </c>
      <c r="B283" t="s">
        <v>50</v>
      </c>
      <c r="C283" s="3" t="s">
        <v>21</v>
      </c>
      <c r="D283">
        <v>161058.17785892411</v>
      </c>
    </row>
    <row r="284" spans="1:4" x14ac:dyDescent="0.35">
      <c r="A284">
        <v>283</v>
      </c>
      <c r="B284" t="s">
        <v>50</v>
      </c>
      <c r="C284" s="3" t="s">
        <v>22</v>
      </c>
      <c r="D284">
        <v>182782.71843475432</v>
      </c>
    </row>
    <row r="285" spans="1:4" x14ac:dyDescent="0.35">
      <c r="A285">
        <v>284</v>
      </c>
      <c r="B285" t="s">
        <v>50</v>
      </c>
      <c r="C285" s="3" t="s">
        <v>23</v>
      </c>
      <c r="D285">
        <v>201379.34984520124</v>
      </c>
    </row>
    <row r="286" spans="1:4" x14ac:dyDescent="0.35">
      <c r="A286">
        <v>285</v>
      </c>
      <c r="B286" t="s">
        <v>50</v>
      </c>
      <c r="C286" s="3" t="s">
        <v>24</v>
      </c>
      <c r="D286">
        <v>186140.45015659614</v>
      </c>
    </row>
    <row r="287" spans="1:4" x14ac:dyDescent="0.35">
      <c r="A287">
        <v>286</v>
      </c>
      <c r="B287" t="s">
        <v>50</v>
      </c>
      <c r="C287" s="6" t="s">
        <v>25</v>
      </c>
      <c r="D287">
        <v>140528.22496988592</v>
      </c>
    </row>
    <row r="288" spans="1:4" x14ac:dyDescent="0.35">
      <c r="A288">
        <v>287</v>
      </c>
      <c r="B288" t="s">
        <v>50</v>
      </c>
      <c r="C288" s="6" t="s">
        <v>26</v>
      </c>
      <c r="D288">
        <v>166626.35567305854</v>
      </c>
    </row>
    <row r="289" spans="1:4" x14ac:dyDescent="0.35">
      <c r="A289">
        <v>288</v>
      </c>
      <c r="B289" t="s">
        <v>50</v>
      </c>
      <c r="C289" s="6" t="s">
        <v>27</v>
      </c>
      <c r="D289">
        <v>178069.58996647212</v>
      </c>
    </row>
    <row r="290" spans="1:4" x14ac:dyDescent="0.35">
      <c r="A290">
        <v>289</v>
      </c>
      <c r="B290" t="s">
        <v>51</v>
      </c>
      <c r="C290" s="2" t="s">
        <v>15</v>
      </c>
      <c r="D290">
        <v>2035854.3530947159</v>
      </c>
    </row>
    <row r="291" spans="1:4" x14ac:dyDescent="0.35">
      <c r="A291">
        <v>290</v>
      </c>
      <c r="B291" t="s">
        <v>51</v>
      </c>
      <c r="C291" s="2" t="s">
        <v>16</v>
      </c>
      <c r="D291">
        <v>2274230.7434891961</v>
      </c>
    </row>
    <row r="292" spans="1:4" x14ac:dyDescent="0.35">
      <c r="A292">
        <v>291</v>
      </c>
      <c r="B292" t="s">
        <v>51</v>
      </c>
      <c r="C292" s="2" t="s">
        <v>17</v>
      </c>
      <c r="D292">
        <v>2454254.0246662232</v>
      </c>
    </row>
    <row r="293" spans="1:4" x14ac:dyDescent="0.35">
      <c r="A293">
        <v>292</v>
      </c>
      <c r="B293" t="s">
        <v>51</v>
      </c>
      <c r="C293" s="2" t="s">
        <v>18</v>
      </c>
      <c r="D293">
        <v>2652359.7073219866</v>
      </c>
    </row>
    <row r="294" spans="1:4" x14ac:dyDescent="0.35">
      <c r="A294">
        <v>293</v>
      </c>
      <c r="B294" t="s">
        <v>51</v>
      </c>
      <c r="C294" s="3" t="s">
        <v>19</v>
      </c>
      <c r="D294">
        <v>3052006.1232740334</v>
      </c>
    </row>
    <row r="295" spans="1:4" x14ac:dyDescent="0.35">
      <c r="A295">
        <v>294</v>
      </c>
      <c r="B295" t="s">
        <v>51</v>
      </c>
      <c r="C295" s="3" t="s">
        <v>20</v>
      </c>
      <c r="D295">
        <v>3165618.2626283052</v>
      </c>
    </row>
    <row r="296" spans="1:4" x14ac:dyDescent="0.35">
      <c r="A296">
        <v>295</v>
      </c>
      <c r="B296" t="s">
        <v>51</v>
      </c>
      <c r="C296" s="3" t="s">
        <v>21</v>
      </c>
      <c r="D296">
        <v>3475493.9402469173</v>
      </c>
    </row>
    <row r="297" spans="1:4" x14ac:dyDescent="0.35">
      <c r="A297">
        <v>296</v>
      </c>
      <c r="B297" t="s">
        <v>51</v>
      </c>
      <c r="C297" s="3" t="s">
        <v>22</v>
      </c>
      <c r="D297">
        <v>3757458.0401663748</v>
      </c>
    </row>
    <row r="298" spans="1:4" x14ac:dyDescent="0.35">
      <c r="A298">
        <v>297</v>
      </c>
      <c r="B298" t="s">
        <v>51</v>
      </c>
      <c r="C298" s="3" t="s">
        <v>23</v>
      </c>
      <c r="D298">
        <v>4006859.4935816173</v>
      </c>
    </row>
    <row r="299" spans="1:4" x14ac:dyDescent="0.35">
      <c r="A299">
        <v>298</v>
      </c>
      <c r="B299" t="s">
        <v>51</v>
      </c>
      <c r="C299" s="3" t="s">
        <v>24</v>
      </c>
      <c r="D299">
        <v>3048101.1267663222</v>
      </c>
    </row>
    <row r="300" spans="1:4" x14ac:dyDescent="0.35">
      <c r="A300">
        <v>299</v>
      </c>
      <c r="B300" t="s">
        <v>51</v>
      </c>
      <c r="C300" s="6" t="s">
        <v>25</v>
      </c>
      <c r="D300">
        <v>3333851.5014007757</v>
      </c>
    </row>
    <row r="301" spans="1:4" x14ac:dyDescent="0.35">
      <c r="A301">
        <v>300</v>
      </c>
      <c r="B301" t="s">
        <v>51</v>
      </c>
      <c r="C301" s="6" t="s">
        <v>26</v>
      </c>
      <c r="D301">
        <v>3772538.6192054767</v>
      </c>
    </row>
    <row r="302" spans="1:4" x14ac:dyDescent="0.35">
      <c r="A302">
        <v>301</v>
      </c>
      <c r="B302" t="s">
        <v>51</v>
      </c>
      <c r="C302" s="6" t="s">
        <v>27</v>
      </c>
      <c r="D302">
        <v>4055158.3780972301</v>
      </c>
    </row>
    <row r="303" spans="1:4" x14ac:dyDescent="0.35">
      <c r="A303">
        <v>302</v>
      </c>
      <c r="B303" t="s">
        <v>51</v>
      </c>
      <c r="C303" s="7" t="s">
        <v>28</v>
      </c>
      <c r="D303">
        <v>4622644.4057608088</v>
      </c>
    </row>
    <row r="304" spans="1:4" x14ac:dyDescent="0.35">
      <c r="A304">
        <v>303</v>
      </c>
      <c r="B304" t="s">
        <v>52</v>
      </c>
      <c r="C304" s="2" t="s">
        <v>15</v>
      </c>
      <c r="D304">
        <v>33936.691822353947</v>
      </c>
    </row>
    <row r="305" spans="1:4" x14ac:dyDescent="0.35">
      <c r="A305">
        <v>304</v>
      </c>
      <c r="B305" t="s">
        <v>52</v>
      </c>
      <c r="C305" s="2" t="s">
        <v>16</v>
      </c>
      <c r="D305">
        <v>38829.343089736547</v>
      </c>
    </row>
    <row r="306" spans="1:4" x14ac:dyDescent="0.35">
      <c r="A306">
        <v>305</v>
      </c>
      <c r="B306" t="s">
        <v>52</v>
      </c>
      <c r="C306" s="2" t="s">
        <v>17</v>
      </c>
      <c r="D306">
        <v>44996.26656767173</v>
      </c>
    </row>
    <row r="307" spans="1:4" x14ac:dyDescent="0.35">
      <c r="A307">
        <v>306</v>
      </c>
      <c r="B307" t="s">
        <v>52</v>
      </c>
      <c r="C307" s="2" t="s">
        <v>18</v>
      </c>
      <c r="D307">
        <v>46386.012113812933</v>
      </c>
    </row>
    <row r="308" spans="1:4" x14ac:dyDescent="0.35">
      <c r="A308">
        <v>307</v>
      </c>
      <c r="B308" t="s">
        <v>52</v>
      </c>
      <c r="C308" s="3" t="s">
        <v>19</v>
      </c>
      <c r="D308">
        <v>48380.359482881904</v>
      </c>
    </row>
    <row r="309" spans="1:4" x14ac:dyDescent="0.35">
      <c r="A309">
        <v>308</v>
      </c>
      <c r="B309" t="s">
        <v>52</v>
      </c>
      <c r="C309" s="3" t="s">
        <v>20</v>
      </c>
      <c r="D309">
        <v>52295.762754867144</v>
      </c>
    </row>
    <row r="310" spans="1:4" x14ac:dyDescent="0.35">
      <c r="A310">
        <v>309</v>
      </c>
      <c r="B310" t="s">
        <v>52</v>
      </c>
      <c r="C310" s="3" t="s">
        <v>21</v>
      </c>
      <c r="D310">
        <v>63072.556103445997</v>
      </c>
    </row>
    <row r="311" spans="1:4" x14ac:dyDescent="0.35">
      <c r="A311">
        <v>310</v>
      </c>
      <c r="B311" t="s">
        <v>52</v>
      </c>
      <c r="C311" s="3" t="s">
        <v>22</v>
      </c>
      <c r="D311">
        <v>81279.805159961659</v>
      </c>
    </row>
    <row r="312" spans="1:4" x14ac:dyDescent="0.35">
      <c r="A312">
        <v>311</v>
      </c>
      <c r="B312" t="s">
        <v>52</v>
      </c>
      <c r="C312" s="3" t="s">
        <v>23</v>
      </c>
      <c r="D312">
        <v>77062.15508805131</v>
      </c>
    </row>
    <row r="313" spans="1:4" x14ac:dyDescent="0.35">
      <c r="A313">
        <v>312</v>
      </c>
      <c r="B313" t="s">
        <v>52</v>
      </c>
      <c r="C313" s="3" t="s">
        <v>24</v>
      </c>
      <c r="D313">
        <v>61438.843964697211</v>
      </c>
    </row>
    <row r="314" spans="1:4" x14ac:dyDescent="0.35">
      <c r="A314">
        <v>313</v>
      </c>
      <c r="B314" t="s">
        <v>52</v>
      </c>
      <c r="C314" s="6" t="s">
        <v>25</v>
      </c>
      <c r="D314">
        <v>69459.283659267647</v>
      </c>
    </row>
    <row r="315" spans="1:4" x14ac:dyDescent="0.35">
      <c r="A315">
        <v>314</v>
      </c>
      <c r="B315" t="s">
        <v>52</v>
      </c>
      <c r="C315" s="6" t="s">
        <v>26</v>
      </c>
      <c r="D315">
        <v>79929.300410272321</v>
      </c>
    </row>
    <row r="316" spans="1:4" x14ac:dyDescent="0.35">
      <c r="A316">
        <v>315</v>
      </c>
      <c r="B316" t="s">
        <v>52</v>
      </c>
      <c r="C316" s="6" t="s">
        <v>27</v>
      </c>
      <c r="D316">
        <v>89929.312052580251</v>
      </c>
    </row>
    <row r="317" spans="1:4" x14ac:dyDescent="0.35">
      <c r="A317">
        <v>316</v>
      </c>
      <c r="B317" t="s">
        <v>53</v>
      </c>
      <c r="C317" s="7" t="s">
        <v>15</v>
      </c>
      <c r="D317">
        <v>147477</v>
      </c>
    </row>
    <row r="318" spans="1:4" x14ac:dyDescent="0.35">
      <c r="A318">
        <v>317</v>
      </c>
      <c r="B318" t="s">
        <v>53</v>
      </c>
      <c r="C318" t="s">
        <v>16</v>
      </c>
      <c r="D318">
        <v>174572</v>
      </c>
    </row>
    <row r="319" spans="1:4" x14ac:dyDescent="0.35">
      <c r="A319">
        <v>318</v>
      </c>
      <c r="B319" t="s">
        <v>53</v>
      </c>
      <c r="C319" t="s">
        <v>17</v>
      </c>
      <c r="D319">
        <v>165482</v>
      </c>
    </row>
    <row r="320" spans="1:4" x14ac:dyDescent="0.35">
      <c r="A320">
        <v>319</v>
      </c>
      <c r="B320" t="s">
        <v>53</v>
      </c>
      <c r="C320" t="s">
        <v>18</v>
      </c>
      <c r="D320">
        <v>174562</v>
      </c>
    </row>
    <row r="321" spans="1:4" x14ac:dyDescent="0.35">
      <c r="A321">
        <v>320</v>
      </c>
      <c r="B321" t="s">
        <v>53</v>
      </c>
      <c r="C321" t="s">
        <v>19</v>
      </c>
      <c r="D321">
        <v>155361.69009282062</v>
      </c>
    </row>
    <row r="322" spans="1:4" x14ac:dyDescent="0.35">
      <c r="A322">
        <v>321</v>
      </c>
      <c r="B322" t="s">
        <v>53</v>
      </c>
      <c r="C322" t="s">
        <v>20</v>
      </c>
      <c r="D322">
        <v>157358.09668612314</v>
      </c>
    </row>
    <row r="323" spans="1:4" x14ac:dyDescent="0.35">
      <c r="A323">
        <v>322</v>
      </c>
      <c r="B323" t="s">
        <v>53</v>
      </c>
      <c r="C323" t="s">
        <v>21</v>
      </c>
      <c r="D323">
        <v>160976.934338953</v>
      </c>
    </row>
    <row r="324" spans="1:4" x14ac:dyDescent="0.35">
      <c r="A324">
        <v>323</v>
      </c>
      <c r="B324" t="s">
        <v>53</v>
      </c>
      <c r="C324" t="s">
        <v>22</v>
      </c>
      <c r="D324">
        <v>170228.06084742979</v>
      </c>
    </row>
    <row r="325" spans="1:4" x14ac:dyDescent="0.35">
      <c r="A325">
        <v>324</v>
      </c>
      <c r="B325" t="s">
        <v>53</v>
      </c>
      <c r="C325" t="s">
        <v>23</v>
      </c>
      <c r="D325">
        <v>166241.07095387537</v>
      </c>
    </row>
    <row r="326" spans="1:4" x14ac:dyDescent="0.35">
      <c r="A326">
        <v>325</v>
      </c>
      <c r="B326" t="s">
        <v>53</v>
      </c>
      <c r="C326" t="s">
        <v>24</v>
      </c>
      <c r="D326">
        <v>116410.66482145984</v>
      </c>
    </row>
    <row r="327" spans="1:4" x14ac:dyDescent="0.35">
      <c r="A327">
        <v>326</v>
      </c>
      <c r="B327" t="s">
        <v>53</v>
      </c>
      <c r="C327" t="s">
        <v>25</v>
      </c>
      <c r="D327">
        <v>133252.27340010216</v>
      </c>
    </row>
    <row r="328" spans="1:4" x14ac:dyDescent="0.35">
      <c r="A328">
        <v>327</v>
      </c>
      <c r="B328" t="s">
        <v>53</v>
      </c>
      <c r="C328" t="s">
        <v>26</v>
      </c>
      <c r="D328">
        <v>149812.36901502957</v>
      </c>
    </row>
    <row r="329" spans="1:4" x14ac:dyDescent="0.35">
      <c r="A329">
        <v>328</v>
      </c>
      <c r="B329" t="s">
        <v>53</v>
      </c>
      <c r="C329" t="s">
        <v>27</v>
      </c>
      <c r="D329">
        <v>147414.87711035504</v>
      </c>
    </row>
    <row r="330" spans="1:4" x14ac:dyDescent="0.35">
      <c r="A330">
        <v>329</v>
      </c>
      <c r="B330" t="s">
        <v>53</v>
      </c>
      <c r="C330" t="s">
        <v>28</v>
      </c>
      <c r="D330">
        <v>145485.59498273258</v>
      </c>
    </row>
    <row r="331" spans="1:4" x14ac:dyDescent="0.35">
      <c r="A331">
        <v>330</v>
      </c>
      <c r="B331" t="s">
        <v>54</v>
      </c>
      <c r="C331" t="s">
        <v>15</v>
      </c>
      <c r="D331">
        <v>2532467</v>
      </c>
    </row>
    <row r="332" spans="1:4" x14ac:dyDescent="0.35">
      <c r="A332">
        <v>331</v>
      </c>
      <c r="B332" t="s">
        <v>54</v>
      </c>
      <c r="C332" t="s">
        <v>16</v>
      </c>
      <c r="D332">
        <v>2758214</v>
      </c>
    </row>
    <row r="333" spans="1:4" x14ac:dyDescent="0.35">
      <c r="A333">
        <v>332</v>
      </c>
      <c r="B333" t="s">
        <v>54</v>
      </c>
      <c r="C333" t="s">
        <v>17</v>
      </c>
      <c r="D333">
        <v>3004908</v>
      </c>
    </row>
    <row r="334" spans="1:4" x14ac:dyDescent="0.35">
      <c r="A334">
        <v>333</v>
      </c>
      <c r="B334" t="s">
        <v>54</v>
      </c>
      <c r="C334" t="s">
        <v>18</v>
      </c>
      <c r="D334">
        <v>3237423</v>
      </c>
    </row>
    <row r="335" spans="1:4" x14ac:dyDescent="0.35">
      <c r="A335">
        <v>334</v>
      </c>
      <c r="B335" t="s">
        <v>54</v>
      </c>
      <c r="C335" t="s">
        <v>19</v>
      </c>
      <c r="D335">
        <v>3458884</v>
      </c>
    </row>
    <row r="336" spans="1:4" x14ac:dyDescent="0.35">
      <c r="A336">
        <v>335</v>
      </c>
      <c r="B336" t="s">
        <v>54</v>
      </c>
      <c r="C336" t="s">
        <v>20</v>
      </c>
      <c r="D336">
        <v>3674850</v>
      </c>
    </row>
    <row r="337" spans="1:4" x14ac:dyDescent="0.35">
      <c r="A337">
        <v>336</v>
      </c>
      <c r="B337" t="s">
        <v>54</v>
      </c>
      <c r="C337" t="s">
        <v>21</v>
      </c>
      <c r="D337">
        <v>3934840</v>
      </c>
    </row>
    <row r="338" spans="1:4" x14ac:dyDescent="0.35">
      <c r="A338">
        <v>337</v>
      </c>
      <c r="B338" t="s">
        <v>54</v>
      </c>
      <c r="C338" t="s">
        <v>22</v>
      </c>
      <c r="D338">
        <v>4204671</v>
      </c>
    </row>
    <row r="339" spans="1:4" x14ac:dyDescent="0.35">
      <c r="A339">
        <v>338</v>
      </c>
      <c r="B339" t="s">
        <v>54</v>
      </c>
      <c r="C339" t="s">
        <v>23</v>
      </c>
      <c r="D339">
        <v>4466272</v>
      </c>
    </row>
    <row r="340" spans="1:4" x14ac:dyDescent="0.35">
      <c r="A340">
        <v>339</v>
      </c>
      <c r="B340" t="s">
        <v>54</v>
      </c>
      <c r="C340" t="s">
        <v>24</v>
      </c>
      <c r="D340">
        <v>3882005</v>
      </c>
    </row>
    <row r="341" spans="1:4" x14ac:dyDescent="0.35">
      <c r="A341">
        <v>340</v>
      </c>
      <c r="B341" t="s">
        <v>54</v>
      </c>
      <c r="C341" t="s">
        <v>25</v>
      </c>
      <c r="D341">
        <v>4222983</v>
      </c>
    </row>
    <row r="342" spans="1:4" x14ac:dyDescent="0.35">
      <c r="A342">
        <v>341</v>
      </c>
      <c r="B342" t="s">
        <v>54</v>
      </c>
      <c r="C342" t="s">
        <v>26</v>
      </c>
      <c r="D342">
        <v>4550015.681627715</v>
      </c>
    </row>
    <row r="343" spans="1:4" x14ac:dyDescent="0.35">
      <c r="A343">
        <v>342</v>
      </c>
      <c r="B343" t="s">
        <v>54</v>
      </c>
      <c r="C343" t="s">
        <v>27</v>
      </c>
      <c r="D343">
        <v>4754516.63117762</v>
      </c>
    </row>
    <row r="344" spans="1:4" x14ac:dyDescent="0.35">
      <c r="A344">
        <v>343</v>
      </c>
      <c r="B344" t="s">
        <v>54</v>
      </c>
      <c r="C344" t="s">
        <v>28</v>
      </c>
      <c r="D344">
        <v>5112608.3939447664</v>
      </c>
    </row>
    <row r="345" spans="1:4" x14ac:dyDescent="0.35">
      <c r="A345">
        <v>344</v>
      </c>
      <c r="B345" t="s">
        <v>55</v>
      </c>
      <c r="C345" t="s">
        <v>15</v>
      </c>
      <c r="D345">
        <v>4374625.4402999999</v>
      </c>
    </row>
    <row r="346" spans="1:4" x14ac:dyDescent="0.35">
      <c r="A346">
        <v>345</v>
      </c>
      <c r="B346" t="s">
        <v>55</v>
      </c>
      <c r="C346" t="s">
        <v>16</v>
      </c>
      <c r="D346">
        <v>4746078.6660000002</v>
      </c>
    </row>
    <row r="347" spans="1:4" x14ac:dyDescent="0.35">
      <c r="A347">
        <v>346</v>
      </c>
      <c r="B347" t="s">
        <v>55</v>
      </c>
      <c r="C347" t="s">
        <v>17</v>
      </c>
      <c r="D347">
        <v>5082507.6759000001</v>
      </c>
    </row>
    <row r="348" spans="1:4" x14ac:dyDescent="0.35">
      <c r="A348">
        <v>347</v>
      </c>
      <c r="B348" t="s">
        <v>55</v>
      </c>
      <c r="C348" t="s">
        <v>18</v>
      </c>
      <c r="D348">
        <v>5432676</v>
      </c>
    </row>
    <row r="349" spans="1:4" x14ac:dyDescent="0.35">
      <c r="A349">
        <v>348</v>
      </c>
      <c r="B349" t="s">
        <v>55</v>
      </c>
      <c r="C349" t="s">
        <v>19</v>
      </c>
      <c r="D349">
        <v>5697093.6701999996</v>
      </c>
    </row>
    <row r="350" spans="1:4" x14ac:dyDescent="0.35">
      <c r="A350">
        <v>349</v>
      </c>
      <c r="B350" t="s">
        <v>55</v>
      </c>
      <c r="C350" t="s">
        <v>20</v>
      </c>
      <c r="D350">
        <v>5970325.9463999998</v>
      </c>
    </row>
    <row r="351" spans="1:4" x14ac:dyDescent="0.35">
      <c r="A351">
        <v>350</v>
      </c>
      <c r="B351" t="s">
        <v>55</v>
      </c>
      <c r="C351" t="s">
        <v>21</v>
      </c>
      <c r="D351">
        <v>6703637.4944879999</v>
      </c>
    </row>
    <row r="352" spans="1:4" x14ac:dyDescent="0.35">
      <c r="A352">
        <v>351</v>
      </c>
      <c r="B352" t="s">
        <v>55</v>
      </c>
      <c r="C352" t="s">
        <v>22</v>
      </c>
      <c r="D352">
        <v>7590102.6185999997</v>
      </c>
    </row>
    <row r="353" spans="1:4" x14ac:dyDescent="0.35">
      <c r="A353">
        <v>352</v>
      </c>
      <c r="B353" t="s">
        <v>55</v>
      </c>
      <c r="C353" t="s">
        <v>23</v>
      </c>
      <c r="D353">
        <v>7875857.54</v>
      </c>
    </row>
    <row r="354" spans="1:4" x14ac:dyDescent="0.35">
      <c r="A354">
        <v>353</v>
      </c>
      <c r="B354" t="s">
        <v>55</v>
      </c>
      <c r="C354" t="s">
        <v>24</v>
      </c>
      <c r="D354">
        <v>6043360.7148453919</v>
      </c>
    </row>
    <row r="355" spans="1:4" x14ac:dyDescent="0.35">
      <c r="A355">
        <v>354</v>
      </c>
      <c r="B355" t="s">
        <v>55</v>
      </c>
      <c r="C355" t="s">
        <v>25</v>
      </c>
      <c r="D355">
        <v>7371043.3618036406</v>
      </c>
    </row>
    <row r="356" spans="1:4" x14ac:dyDescent="0.35">
      <c r="A356">
        <v>355</v>
      </c>
      <c r="B356" t="s">
        <v>55</v>
      </c>
      <c r="C356" t="s">
        <v>26</v>
      </c>
      <c r="D356">
        <v>8991630.4555946924</v>
      </c>
    </row>
    <row r="357" spans="1:4" x14ac:dyDescent="0.35">
      <c r="A357">
        <v>356</v>
      </c>
      <c r="B357" t="s">
        <v>55</v>
      </c>
      <c r="C357" t="s">
        <v>27</v>
      </c>
      <c r="D357">
        <v>9626058.6894186288</v>
      </c>
    </row>
    <row r="358" spans="1:4" x14ac:dyDescent="0.35">
      <c r="A358">
        <v>357</v>
      </c>
      <c r="B358" t="s">
        <v>55</v>
      </c>
      <c r="C358" t="s">
        <v>28</v>
      </c>
      <c r="D358">
        <v>10283159.736669194</v>
      </c>
    </row>
    <row r="359" spans="1:4" x14ac:dyDescent="0.35">
      <c r="A359">
        <v>358</v>
      </c>
      <c r="B359" t="s">
        <v>56</v>
      </c>
      <c r="C359" t="s">
        <v>15</v>
      </c>
      <c r="D359">
        <v>31445.820800000001</v>
      </c>
    </row>
    <row r="360" spans="1:4" x14ac:dyDescent="0.35">
      <c r="A360">
        <v>359</v>
      </c>
      <c r="B360" t="s">
        <v>56</v>
      </c>
      <c r="C360" t="s">
        <v>16</v>
      </c>
      <c r="D360">
        <v>50934.612523793861</v>
      </c>
    </row>
    <row r="361" spans="1:4" x14ac:dyDescent="0.35">
      <c r="A361">
        <v>360</v>
      </c>
      <c r="B361" t="s">
        <v>56</v>
      </c>
      <c r="C361" t="s">
        <v>17</v>
      </c>
      <c r="D361">
        <v>60934.326689633766</v>
      </c>
    </row>
    <row r="362" spans="1:4" x14ac:dyDescent="0.35">
      <c r="A362">
        <v>361</v>
      </c>
      <c r="B362" t="s">
        <v>56</v>
      </c>
      <c r="C362" t="s">
        <v>18</v>
      </c>
      <c r="D362">
        <v>60092.797083652891</v>
      </c>
    </row>
    <row r="363" spans="1:4" x14ac:dyDescent="0.35">
      <c r="A363">
        <v>362</v>
      </c>
      <c r="B363" t="s">
        <v>56</v>
      </c>
      <c r="C363" t="s">
        <v>19</v>
      </c>
      <c r="D363">
        <v>61863.441029078502</v>
      </c>
    </row>
    <row r="364" spans="1:4" x14ac:dyDescent="0.35">
      <c r="A364">
        <v>363</v>
      </c>
      <c r="B364" t="s">
        <v>56</v>
      </c>
      <c r="C364" t="s">
        <v>20</v>
      </c>
      <c r="D364">
        <v>66329.539523131185</v>
      </c>
    </row>
    <row r="365" spans="1:4" x14ac:dyDescent="0.35">
      <c r="A365">
        <v>364</v>
      </c>
      <c r="B365" t="s">
        <v>56</v>
      </c>
      <c r="C365" t="s">
        <v>21</v>
      </c>
      <c r="D365">
        <v>76206.899882089027</v>
      </c>
    </row>
    <row r="366" spans="1:4" x14ac:dyDescent="0.35">
      <c r="A366">
        <v>365</v>
      </c>
      <c r="B366" t="s">
        <v>56</v>
      </c>
      <c r="C366" t="s">
        <v>22</v>
      </c>
      <c r="D366">
        <v>87843.719503532426</v>
      </c>
    </row>
    <row r="367" spans="1:4" x14ac:dyDescent="0.35">
      <c r="A367">
        <v>366</v>
      </c>
      <c r="B367" t="s">
        <v>56</v>
      </c>
      <c r="C367" t="s">
        <v>23</v>
      </c>
      <c r="D367">
        <v>98890.778189534307</v>
      </c>
    </row>
    <row r="368" spans="1:4" x14ac:dyDescent="0.35">
      <c r="A368">
        <v>367</v>
      </c>
      <c r="B368" t="s">
        <v>56</v>
      </c>
      <c r="C368" t="s">
        <v>24</v>
      </c>
      <c r="D368">
        <v>106031.06574720895</v>
      </c>
    </row>
    <row r="369" spans="1:4" x14ac:dyDescent="0.35">
      <c r="A369">
        <v>368</v>
      </c>
      <c r="B369" t="s">
        <v>56</v>
      </c>
      <c r="C369" t="s">
        <v>25</v>
      </c>
      <c r="D369">
        <v>118421.07495578595</v>
      </c>
    </row>
    <row r="370" spans="1:4" x14ac:dyDescent="0.35">
      <c r="A370">
        <v>369</v>
      </c>
      <c r="B370" t="s">
        <v>56</v>
      </c>
      <c r="C370" t="s">
        <v>26</v>
      </c>
      <c r="D370">
        <v>152543.39352434268</v>
      </c>
    </row>
    <row r="371" spans="1:4" x14ac:dyDescent="0.35">
      <c r="A371">
        <v>370</v>
      </c>
      <c r="B371" t="s">
        <v>56</v>
      </c>
      <c r="C371" t="s">
        <v>27</v>
      </c>
      <c r="D371">
        <v>175597.54544428119</v>
      </c>
    </row>
    <row r="372" spans="1:4" x14ac:dyDescent="0.35">
      <c r="A372">
        <v>371</v>
      </c>
      <c r="B372" t="s">
        <v>57</v>
      </c>
      <c r="C372" t="s">
        <v>15</v>
      </c>
      <c r="D372">
        <v>7930218.8795999996</v>
      </c>
    </row>
    <row r="373" spans="1:4" x14ac:dyDescent="0.35">
      <c r="A373">
        <v>372</v>
      </c>
      <c r="B373" t="s">
        <v>57</v>
      </c>
      <c r="C373" t="s">
        <v>16</v>
      </c>
      <c r="D373">
        <v>8910693.7863545809</v>
      </c>
    </row>
    <row r="374" spans="1:4" x14ac:dyDescent="0.35">
      <c r="A374">
        <v>373</v>
      </c>
      <c r="B374" t="s">
        <v>57</v>
      </c>
      <c r="C374" t="s">
        <v>17</v>
      </c>
      <c r="D374">
        <v>9828600.7063888069</v>
      </c>
    </row>
    <row r="375" spans="1:4" x14ac:dyDescent="0.35">
      <c r="A375">
        <v>374</v>
      </c>
      <c r="B375" t="s">
        <v>57</v>
      </c>
      <c r="C375" t="s">
        <v>18</v>
      </c>
      <c r="D375">
        <v>10228120.585056704</v>
      </c>
    </row>
    <row r="376" spans="1:4" x14ac:dyDescent="0.35">
      <c r="A376">
        <v>375</v>
      </c>
      <c r="B376" t="s">
        <v>57</v>
      </c>
      <c r="C376" t="s">
        <v>19</v>
      </c>
      <c r="D376">
        <v>10133545.374893416</v>
      </c>
    </row>
    <row r="377" spans="1:4" x14ac:dyDescent="0.35">
      <c r="A377">
        <v>376</v>
      </c>
      <c r="B377" t="s">
        <v>57</v>
      </c>
      <c r="C377" t="s">
        <v>20</v>
      </c>
      <c r="D377">
        <v>10811169.043281471</v>
      </c>
    </row>
    <row r="378" spans="1:4" x14ac:dyDescent="0.35">
      <c r="A378">
        <v>377</v>
      </c>
      <c r="B378" t="s">
        <v>57</v>
      </c>
      <c r="C378" t="s">
        <v>21</v>
      </c>
      <c r="D378">
        <v>11801743.975952974</v>
      </c>
    </row>
    <row r="379" spans="1:4" x14ac:dyDescent="0.35">
      <c r="A379">
        <v>378</v>
      </c>
      <c r="B379" t="s">
        <v>57</v>
      </c>
      <c r="C379" t="s">
        <v>22</v>
      </c>
      <c r="D379">
        <v>12964536.565489748</v>
      </c>
    </row>
    <row r="380" spans="1:4" x14ac:dyDescent="0.35">
      <c r="A380">
        <v>379</v>
      </c>
      <c r="B380" t="s">
        <v>57</v>
      </c>
      <c r="C380" t="s">
        <v>23</v>
      </c>
      <c r="D380">
        <v>13519999.357457431</v>
      </c>
    </row>
    <row r="381" spans="1:4" x14ac:dyDescent="0.35">
      <c r="A381">
        <v>380</v>
      </c>
      <c r="B381" t="s">
        <v>57</v>
      </c>
      <c r="C381" t="s">
        <v>24</v>
      </c>
      <c r="D381">
        <v>12780175.642704688</v>
      </c>
    </row>
    <row r="382" spans="1:4" x14ac:dyDescent="0.35">
      <c r="A382">
        <v>381</v>
      </c>
      <c r="B382" t="s">
        <v>57</v>
      </c>
      <c r="C382" t="s">
        <v>25</v>
      </c>
      <c r="D382">
        <v>13537069.430396412</v>
      </c>
    </row>
    <row r="383" spans="1:4" x14ac:dyDescent="0.35">
      <c r="A383">
        <v>382</v>
      </c>
      <c r="B383" t="s">
        <v>57</v>
      </c>
      <c r="C383" t="s">
        <v>26</v>
      </c>
      <c r="D383">
        <v>14896133.497768957</v>
      </c>
    </row>
    <row r="384" spans="1:4" x14ac:dyDescent="0.35">
      <c r="A384">
        <v>383</v>
      </c>
      <c r="B384" t="s">
        <v>57</v>
      </c>
      <c r="C384" t="s">
        <v>27</v>
      </c>
      <c r="D384">
        <v>15904885.909450067</v>
      </c>
    </row>
    <row r="385" spans="1:4" x14ac:dyDescent="0.35">
      <c r="A385">
        <v>384</v>
      </c>
      <c r="B385" t="s">
        <v>57</v>
      </c>
      <c r="C385" t="s">
        <v>28</v>
      </c>
      <c r="D385">
        <v>17328662.071378559</v>
      </c>
    </row>
    <row r="386" spans="1:4" x14ac:dyDescent="0.35">
      <c r="A386">
        <v>385</v>
      </c>
      <c r="B386" t="s">
        <v>58</v>
      </c>
      <c r="C386" t="s">
        <v>15</v>
      </c>
      <c r="D386">
        <v>3747813</v>
      </c>
    </row>
    <row r="387" spans="1:4" x14ac:dyDescent="0.35">
      <c r="A387">
        <v>386</v>
      </c>
      <c r="B387" t="s">
        <v>58</v>
      </c>
      <c r="C387" t="s">
        <v>16</v>
      </c>
      <c r="D387">
        <v>4026649</v>
      </c>
    </row>
    <row r="388" spans="1:4" x14ac:dyDescent="0.35">
      <c r="A388">
        <v>387</v>
      </c>
      <c r="B388" t="s">
        <v>58</v>
      </c>
      <c r="C388" t="s">
        <v>17</v>
      </c>
      <c r="D388">
        <v>4357584</v>
      </c>
    </row>
    <row r="389" spans="1:4" x14ac:dyDescent="0.35">
      <c r="A389">
        <v>388</v>
      </c>
      <c r="B389" t="s">
        <v>58</v>
      </c>
      <c r="C389" t="s">
        <v>18</v>
      </c>
      <c r="D389">
        <v>5223022</v>
      </c>
    </row>
    <row r="390" spans="1:4" x14ac:dyDescent="0.35">
      <c r="A390">
        <v>389</v>
      </c>
      <c r="B390" t="s">
        <v>58</v>
      </c>
      <c r="C390" t="s">
        <v>19</v>
      </c>
      <c r="D390">
        <v>5854315</v>
      </c>
    </row>
    <row r="391" spans="1:4" x14ac:dyDescent="0.35">
      <c r="A391">
        <v>390</v>
      </c>
      <c r="B391" t="s">
        <v>58</v>
      </c>
      <c r="C391" t="s">
        <v>20</v>
      </c>
      <c r="D391">
        <v>6483197</v>
      </c>
    </row>
    <row r="392" spans="1:4" x14ac:dyDescent="0.35">
      <c r="A392">
        <v>391</v>
      </c>
      <c r="B392" t="s">
        <v>58</v>
      </c>
      <c r="C392" t="s">
        <v>21</v>
      </c>
      <c r="D392">
        <v>7514990</v>
      </c>
    </row>
    <row r="393" spans="1:4" x14ac:dyDescent="0.35">
      <c r="A393">
        <v>392</v>
      </c>
      <c r="B393" t="s">
        <v>58</v>
      </c>
      <c r="C393" t="s">
        <v>22</v>
      </c>
      <c r="D393">
        <v>8911381.3386095688</v>
      </c>
    </row>
    <row r="394" spans="1:4" x14ac:dyDescent="0.35">
      <c r="A394">
        <v>393</v>
      </c>
      <c r="B394" t="s">
        <v>58</v>
      </c>
      <c r="C394" t="s">
        <v>23</v>
      </c>
      <c r="D394">
        <v>9731135.9564989358</v>
      </c>
    </row>
    <row r="395" spans="1:4" x14ac:dyDescent="0.35">
      <c r="A395">
        <v>394</v>
      </c>
      <c r="B395" t="s">
        <v>58</v>
      </c>
      <c r="C395" t="s">
        <v>24</v>
      </c>
      <c r="D395">
        <v>7691857.8107176293</v>
      </c>
    </row>
    <row r="396" spans="1:4" x14ac:dyDescent="0.35">
      <c r="A396">
        <v>395</v>
      </c>
      <c r="B396" t="s">
        <v>58</v>
      </c>
      <c r="C396" t="s">
        <v>25</v>
      </c>
      <c r="D396">
        <v>9386008.9924850781</v>
      </c>
    </row>
    <row r="397" spans="1:4" x14ac:dyDescent="0.35">
      <c r="A397">
        <v>396</v>
      </c>
      <c r="B397" t="s">
        <v>58</v>
      </c>
      <c r="C397" t="s">
        <v>26</v>
      </c>
      <c r="D397">
        <v>10686572.705636328</v>
      </c>
    </row>
    <row r="398" spans="1:4" x14ac:dyDescent="0.35">
      <c r="A398">
        <v>397</v>
      </c>
      <c r="B398" t="s">
        <v>58</v>
      </c>
      <c r="C398" t="s">
        <v>27</v>
      </c>
      <c r="D398">
        <v>11532258.735939445</v>
      </c>
    </row>
    <row r="399" spans="1:4" x14ac:dyDescent="0.35">
      <c r="A399">
        <v>398</v>
      </c>
      <c r="B399" t="s">
        <v>58</v>
      </c>
      <c r="C399" t="s">
        <v>28</v>
      </c>
      <c r="D399">
        <v>13445026.257617988</v>
      </c>
    </row>
    <row r="400" spans="1:4" x14ac:dyDescent="0.35">
      <c r="A400">
        <v>399</v>
      </c>
      <c r="B400" t="s">
        <v>59</v>
      </c>
      <c r="C400" t="s">
        <v>15</v>
      </c>
      <c r="D400">
        <v>226839</v>
      </c>
    </row>
    <row r="401" spans="1:4" x14ac:dyDescent="0.35">
      <c r="A401">
        <v>400</v>
      </c>
      <c r="B401" t="s">
        <v>59</v>
      </c>
      <c r="C401" t="s">
        <v>16</v>
      </c>
      <c r="D401">
        <v>262147</v>
      </c>
    </row>
    <row r="402" spans="1:4" x14ac:dyDescent="0.35">
      <c r="A402">
        <v>401</v>
      </c>
      <c r="B402" t="s">
        <v>59</v>
      </c>
      <c r="C402" t="s">
        <v>17</v>
      </c>
      <c r="D402">
        <v>250939</v>
      </c>
    </row>
    <row r="403" spans="1:4" x14ac:dyDescent="0.35">
      <c r="A403">
        <v>402</v>
      </c>
      <c r="B403" t="s">
        <v>59</v>
      </c>
      <c r="C403" t="s">
        <v>18</v>
      </c>
      <c r="D403">
        <v>318626</v>
      </c>
    </row>
    <row r="404" spans="1:4" x14ac:dyDescent="0.35">
      <c r="A404">
        <v>403</v>
      </c>
      <c r="B404" t="s">
        <v>59</v>
      </c>
      <c r="C404" t="s">
        <v>19</v>
      </c>
      <c r="D404">
        <v>241102</v>
      </c>
    </row>
    <row r="405" spans="1:4" x14ac:dyDescent="0.35">
      <c r="A405">
        <v>404</v>
      </c>
      <c r="B405" t="s">
        <v>59</v>
      </c>
      <c r="C405" t="s">
        <v>20</v>
      </c>
      <c r="D405">
        <v>279845</v>
      </c>
    </row>
    <row r="406" spans="1:4" x14ac:dyDescent="0.35">
      <c r="A406">
        <v>405</v>
      </c>
      <c r="B406" t="s">
        <v>59</v>
      </c>
      <c r="C406" t="s">
        <v>21</v>
      </c>
      <c r="D406">
        <v>384131</v>
      </c>
    </row>
    <row r="407" spans="1:4" x14ac:dyDescent="0.35">
      <c r="A407">
        <v>406</v>
      </c>
      <c r="B407" t="s">
        <v>59</v>
      </c>
      <c r="C407" t="s">
        <v>22</v>
      </c>
      <c r="D407">
        <v>452552</v>
      </c>
    </row>
    <row r="408" spans="1:4" x14ac:dyDescent="0.35">
      <c r="A408">
        <v>407</v>
      </c>
      <c r="B408" t="s">
        <v>59</v>
      </c>
      <c r="C408" t="s">
        <v>23</v>
      </c>
      <c r="D408">
        <v>525530</v>
      </c>
    </row>
    <row r="409" spans="1:4" x14ac:dyDescent="0.35">
      <c r="A409">
        <v>408</v>
      </c>
      <c r="B409" t="s">
        <v>59</v>
      </c>
      <c r="C409" t="s">
        <v>24</v>
      </c>
      <c r="D409">
        <v>404256</v>
      </c>
    </row>
    <row r="410" spans="1:4" x14ac:dyDescent="0.35">
      <c r="A410">
        <v>409</v>
      </c>
      <c r="B410" t="s">
        <v>59</v>
      </c>
      <c r="C410" t="s">
        <v>25</v>
      </c>
      <c r="D410">
        <v>424054</v>
      </c>
    </row>
    <row r="411" spans="1:4" x14ac:dyDescent="0.35">
      <c r="A411">
        <v>410</v>
      </c>
      <c r="B411" t="s">
        <v>59</v>
      </c>
      <c r="C411" t="s">
        <v>26</v>
      </c>
      <c r="D411">
        <v>540285</v>
      </c>
    </row>
    <row r="412" spans="1:4" x14ac:dyDescent="0.35">
      <c r="A412">
        <v>411</v>
      </c>
      <c r="B412" t="s">
        <v>59</v>
      </c>
      <c r="C412" t="s">
        <v>27</v>
      </c>
      <c r="D412">
        <v>554534</v>
      </c>
    </row>
    <row r="413" spans="1:4" x14ac:dyDescent="0.35">
      <c r="A413">
        <v>412</v>
      </c>
      <c r="B413" t="s">
        <v>59</v>
      </c>
      <c r="C413" t="s">
        <v>28</v>
      </c>
      <c r="D413">
        <v>614774.21800036298</v>
      </c>
    </row>
    <row r="414" spans="1:4" x14ac:dyDescent="0.35">
      <c r="A414">
        <v>413</v>
      </c>
      <c r="B414" t="s">
        <v>60</v>
      </c>
      <c r="C414" t="s">
        <v>15</v>
      </c>
      <c r="D414">
        <v>1192896</v>
      </c>
    </row>
    <row r="415" spans="1:4" x14ac:dyDescent="0.35">
      <c r="A415">
        <v>414</v>
      </c>
      <c r="B415" t="s">
        <v>60</v>
      </c>
      <c r="C415" t="s">
        <v>16</v>
      </c>
      <c r="D415">
        <v>1306187</v>
      </c>
    </row>
    <row r="416" spans="1:4" x14ac:dyDescent="0.35">
      <c r="A416">
        <v>415</v>
      </c>
      <c r="B416" t="s">
        <v>60</v>
      </c>
      <c r="C416" t="s">
        <v>17</v>
      </c>
      <c r="D416">
        <v>1418883</v>
      </c>
    </row>
    <row r="417" spans="1:4" x14ac:dyDescent="0.35">
      <c r="A417">
        <v>416</v>
      </c>
      <c r="B417" t="s">
        <v>60</v>
      </c>
      <c r="C417" t="s">
        <v>18</v>
      </c>
      <c r="D417">
        <v>1518569</v>
      </c>
    </row>
    <row r="418" spans="1:4" x14ac:dyDescent="0.35">
      <c r="A418">
        <v>417</v>
      </c>
      <c r="B418" t="s">
        <v>60</v>
      </c>
      <c r="C418" t="s">
        <v>19</v>
      </c>
      <c r="D418">
        <v>1691788</v>
      </c>
    </row>
    <row r="419" spans="1:4" x14ac:dyDescent="0.35">
      <c r="A419">
        <v>418</v>
      </c>
      <c r="B419" t="s">
        <v>60</v>
      </c>
      <c r="C419" t="s">
        <v>20</v>
      </c>
      <c r="D419">
        <v>1955352</v>
      </c>
    </row>
    <row r="420" spans="1:4" x14ac:dyDescent="0.35">
      <c r="A420">
        <v>419</v>
      </c>
      <c r="B420" t="s">
        <v>60</v>
      </c>
      <c r="C420" t="s">
        <v>21</v>
      </c>
      <c r="D420">
        <v>2222555</v>
      </c>
    </row>
    <row r="421" spans="1:4" x14ac:dyDescent="0.35">
      <c r="A421">
        <v>420</v>
      </c>
      <c r="B421" t="s">
        <v>60</v>
      </c>
      <c r="C421" t="s">
        <v>22</v>
      </c>
      <c r="D421">
        <v>2480838</v>
      </c>
    </row>
    <row r="422" spans="1:4" x14ac:dyDescent="0.35">
      <c r="A422">
        <v>421</v>
      </c>
      <c r="B422" t="s">
        <v>60</v>
      </c>
      <c r="C422" t="s">
        <v>23</v>
      </c>
      <c r="D422">
        <v>2646355</v>
      </c>
    </row>
    <row r="423" spans="1:4" x14ac:dyDescent="0.35">
      <c r="A423">
        <v>422</v>
      </c>
      <c r="B423" t="s">
        <v>60</v>
      </c>
      <c r="C423" t="s">
        <v>24</v>
      </c>
      <c r="D423">
        <v>1931675</v>
      </c>
    </row>
    <row r="424" spans="1:4" x14ac:dyDescent="0.35">
      <c r="A424">
        <v>423</v>
      </c>
      <c r="B424" t="s">
        <v>60</v>
      </c>
      <c r="C424" t="s">
        <v>25</v>
      </c>
      <c r="D424">
        <v>2388250</v>
      </c>
    </row>
    <row r="425" spans="1:4" x14ac:dyDescent="0.35">
      <c r="A425">
        <v>424</v>
      </c>
      <c r="B425" t="s">
        <v>60</v>
      </c>
      <c r="C425" t="s">
        <v>26</v>
      </c>
      <c r="D425">
        <v>2885557</v>
      </c>
    </row>
    <row r="426" spans="1:4" x14ac:dyDescent="0.35">
      <c r="A426">
        <v>425</v>
      </c>
      <c r="B426" t="s">
        <v>60</v>
      </c>
      <c r="C426" t="s">
        <v>27</v>
      </c>
      <c r="D426">
        <v>3172405</v>
      </c>
    </row>
    <row r="427" spans="1:4" x14ac:dyDescent="0.35">
      <c r="A427">
        <v>426</v>
      </c>
      <c r="B427" t="s">
        <v>60</v>
      </c>
      <c r="C427" t="s">
        <v>28</v>
      </c>
      <c r="D427">
        <v>3322050</v>
      </c>
    </row>
    <row r="428" spans="1:4" x14ac:dyDescent="0.35">
      <c r="A428">
        <v>427</v>
      </c>
      <c r="B428" t="s">
        <v>61</v>
      </c>
      <c r="C428" t="s">
        <v>15</v>
      </c>
      <c r="D428">
        <v>6946588.3179423101</v>
      </c>
    </row>
    <row r="429" spans="1:4" x14ac:dyDescent="0.35">
      <c r="A429">
        <v>428</v>
      </c>
      <c r="B429" t="s">
        <v>61</v>
      </c>
      <c r="C429" t="s">
        <v>16</v>
      </c>
      <c r="D429">
        <v>6976021.1448365413</v>
      </c>
    </row>
    <row r="430" spans="1:4" x14ac:dyDescent="0.35">
      <c r="A430">
        <v>429</v>
      </c>
      <c r="B430" t="s">
        <v>61</v>
      </c>
      <c r="C430" t="s">
        <v>17</v>
      </c>
      <c r="D430">
        <v>7679666.3531770352</v>
      </c>
    </row>
    <row r="431" spans="1:4" x14ac:dyDescent="0.35">
      <c r="A431">
        <v>430</v>
      </c>
      <c r="B431" t="s">
        <v>61</v>
      </c>
      <c r="C431" t="s">
        <v>18</v>
      </c>
      <c r="D431">
        <v>8162572.3418055885</v>
      </c>
    </row>
    <row r="432" spans="1:4" x14ac:dyDescent="0.35">
      <c r="A432">
        <v>431</v>
      </c>
      <c r="B432" t="s">
        <v>61</v>
      </c>
      <c r="C432" t="s">
        <v>19</v>
      </c>
      <c r="D432">
        <v>8944798.5404688269</v>
      </c>
    </row>
    <row r="433" spans="1:4" x14ac:dyDescent="0.35">
      <c r="A433">
        <v>432</v>
      </c>
      <c r="B433" t="s">
        <v>61</v>
      </c>
      <c r="C433" t="s">
        <v>20</v>
      </c>
      <c r="D433">
        <v>9537001.3337526731</v>
      </c>
    </row>
    <row r="434" spans="1:4" x14ac:dyDescent="0.35">
      <c r="A434">
        <v>433</v>
      </c>
      <c r="B434" t="s">
        <v>61</v>
      </c>
      <c r="C434" t="s">
        <v>21</v>
      </c>
      <c r="D434">
        <v>10242555.178651022</v>
      </c>
    </row>
    <row r="435" spans="1:4" x14ac:dyDescent="0.35">
      <c r="A435">
        <v>434</v>
      </c>
      <c r="B435" t="s">
        <v>61</v>
      </c>
      <c r="C435" t="s">
        <v>22</v>
      </c>
      <c r="D435">
        <v>10929187.181375124</v>
      </c>
    </row>
    <row r="436" spans="1:4" x14ac:dyDescent="0.35">
      <c r="A436">
        <v>435</v>
      </c>
      <c r="B436" t="s">
        <v>61</v>
      </c>
      <c r="C436" t="s">
        <v>23</v>
      </c>
      <c r="D436">
        <v>12036089</v>
      </c>
    </row>
    <row r="437" spans="1:4" x14ac:dyDescent="0.35">
      <c r="A437">
        <v>436</v>
      </c>
      <c r="B437" t="s">
        <v>61</v>
      </c>
      <c r="C437" t="s">
        <v>24</v>
      </c>
      <c r="D437">
        <v>9943130</v>
      </c>
    </row>
    <row r="438" spans="1:4" x14ac:dyDescent="0.35">
      <c r="A438">
        <v>437</v>
      </c>
      <c r="B438" t="s">
        <v>61</v>
      </c>
      <c r="C438" t="s">
        <v>25</v>
      </c>
      <c r="D438">
        <v>10843412.358473234</v>
      </c>
    </row>
    <row r="439" spans="1:4" x14ac:dyDescent="0.35">
      <c r="A439">
        <v>438</v>
      </c>
      <c r="B439" t="s">
        <v>61</v>
      </c>
      <c r="C439" t="s">
        <v>26</v>
      </c>
      <c r="D439">
        <v>12339047</v>
      </c>
    </row>
    <row r="440" spans="1:4" x14ac:dyDescent="0.35">
      <c r="A440">
        <v>439</v>
      </c>
      <c r="B440" t="s">
        <v>61</v>
      </c>
      <c r="C440" t="s">
        <v>27</v>
      </c>
      <c r="D440">
        <v>13357207</v>
      </c>
    </row>
    <row r="441" spans="1:4" x14ac:dyDescent="0.35">
      <c r="A441">
        <v>440</v>
      </c>
      <c r="B441" t="s">
        <v>61</v>
      </c>
      <c r="C441" t="s">
        <v>28</v>
      </c>
      <c r="D441">
        <v>14741853</v>
      </c>
    </row>
    <row r="442" spans="1:4" x14ac:dyDescent="0.35">
      <c r="A442">
        <v>441</v>
      </c>
      <c r="B442" t="s">
        <v>62</v>
      </c>
      <c r="C442" t="s">
        <v>15</v>
      </c>
      <c r="D442">
        <v>6795832</v>
      </c>
    </row>
    <row r="443" spans="1:4" x14ac:dyDescent="0.35">
      <c r="A443">
        <v>442</v>
      </c>
      <c r="B443" t="s">
        <v>62</v>
      </c>
      <c r="C443" t="s">
        <v>16</v>
      </c>
      <c r="D443">
        <v>7252392</v>
      </c>
    </row>
    <row r="444" spans="1:4" x14ac:dyDescent="0.35">
      <c r="A444">
        <v>443</v>
      </c>
      <c r="B444" t="s">
        <v>62</v>
      </c>
      <c r="C444" t="s">
        <v>17</v>
      </c>
      <c r="D444">
        <v>7902411</v>
      </c>
    </row>
    <row r="445" spans="1:4" x14ac:dyDescent="0.35">
      <c r="A445">
        <v>444</v>
      </c>
      <c r="B445" t="s">
        <v>62</v>
      </c>
      <c r="C445" t="s">
        <v>18</v>
      </c>
      <c r="D445">
        <v>8250079</v>
      </c>
    </row>
    <row r="446" spans="1:4" x14ac:dyDescent="0.35">
      <c r="A446">
        <v>445</v>
      </c>
      <c r="B446" t="s">
        <v>62</v>
      </c>
      <c r="C446" t="s">
        <v>19</v>
      </c>
      <c r="D446">
        <v>8788238</v>
      </c>
    </row>
    <row r="447" spans="1:4" x14ac:dyDescent="0.35">
      <c r="A447">
        <v>446</v>
      </c>
      <c r="B447" t="s">
        <v>62</v>
      </c>
      <c r="C447" t="s">
        <v>20</v>
      </c>
      <c r="D447">
        <v>9149590</v>
      </c>
    </row>
    <row r="448" spans="1:4" x14ac:dyDescent="0.35">
      <c r="A448">
        <v>447</v>
      </c>
      <c r="B448" t="s">
        <v>62</v>
      </c>
      <c r="C448" t="s">
        <v>21</v>
      </c>
      <c r="D448">
        <v>10165132</v>
      </c>
    </row>
    <row r="449" spans="1:4" x14ac:dyDescent="0.35">
      <c r="A449">
        <v>448</v>
      </c>
      <c r="B449" t="s">
        <v>62</v>
      </c>
      <c r="C449" t="s">
        <v>22</v>
      </c>
      <c r="D449">
        <v>11242450</v>
      </c>
    </row>
    <row r="450" spans="1:4" x14ac:dyDescent="0.35">
      <c r="A450">
        <v>449</v>
      </c>
      <c r="B450" t="s">
        <v>62</v>
      </c>
      <c r="C450" t="s">
        <v>23</v>
      </c>
      <c r="D450">
        <v>11723125</v>
      </c>
    </row>
    <row r="451" spans="1:4" x14ac:dyDescent="0.35">
      <c r="A451">
        <v>450</v>
      </c>
      <c r="B451" t="s">
        <v>62</v>
      </c>
      <c r="C451" t="s">
        <v>24</v>
      </c>
      <c r="D451">
        <v>8663137</v>
      </c>
    </row>
    <row r="452" spans="1:4" x14ac:dyDescent="0.35">
      <c r="A452">
        <v>451</v>
      </c>
      <c r="B452" t="s">
        <v>62</v>
      </c>
      <c r="C452" t="s">
        <v>25</v>
      </c>
      <c r="D452">
        <v>10265349</v>
      </c>
    </row>
    <row r="453" spans="1:4" x14ac:dyDescent="0.35">
      <c r="A453">
        <v>452</v>
      </c>
      <c r="B453" t="s">
        <v>62</v>
      </c>
      <c r="C453" t="s">
        <v>26</v>
      </c>
      <c r="D453">
        <v>11845330</v>
      </c>
    </row>
    <row r="454" spans="1:4" x14ac:dyDescent="0.35">
      <c r="A454">
        <v>453</v>
      </c>
      <c r="B454" t="s">
        <v>62</v>
      </c>
      <c r="C454" t="s">
        <v>27</v>
      </c>
      <c r="D454">
        <v>12796876.482000001</v>
      </c>
    </row>
    <row r="455" spans="1:4" x14ac:dyDescent="0.35">
      <c r="A455">
        <v>454</v>
      </c>
      <c r="B455" t="s">
        <v>62</v>
      </c>
      <c r="C455" t="s">
        <v>28</v>
      </c>
      <c r="D455">
        <v>13661276.390865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C017-C25E-41D0-9193-C1097D336D00}">
  <dimension ref="A2:U516"/>
  <sheetViews>
    <sheetView zoomScale="55" zoomScaleNormal="55" workbookViewId="0">
      <selection activeCell="T49" sqref="T49:U57"/>
    </sheetView>
  </sheetViews>
  <sheetFormatPr defaultRowHeight="14.5" x14ac:dyDescent="0.35"/>
  <cols>
    <col min="2" max="2" width="17.26953125" customWidth="1"/>
    <col min="3" max="3" width="18.08984375" customWidth="1"/>
    <col min="4" max="4" width="24.90625" customWidth="1"/>
    <col min="5" max="5" width="27.453125" customWidth="1"/>
    <col min="6" max="6" width="35.36328125" customWidth="1"/>
    <col min="8" max="8" width="28.1796875" customWidth="1"/>
    <col min="9" max="9" width="15.08984375" customWidth="1"/>
    <col min="21" max="21" width="15.08984375" customWidth="1"/>
  </cols>
  <sheetData>
    <row r="2" spans="1:21" x14ac:dyDescent="0.35">
      <c r="B2" s="24">
        <v>45017</v>
      </c>
    </row>
    <row r="3" spans="1:21" x14ac:dyDescent="0.35">
      <c r="A3" t="s">
        <v>30</v>
      </c>
      <c r="B3" t="s">
        <v>99</v>
      </c>
      <c r="C3" t="s">
        <v>100</v>
      </c>
      <c r="D3" t="s">
        <v>101</v>
      </c>
      <c r="E3" t="s">
        <v>102</v>
      </c>
      <c r="F3" t="s">
        <v>103</v>
      </c>
    </row>
    <row r="4" spans="1:21" ht="19.5" customHeight="1" x14ac:dyDescent="0.35"/>
    <row r="5" spans="1:21" x14ac:dyDescent="0.35">
      <c r="J5" s="5" t="s">
        <v>142</v>
      </c>
    </row>
    <row r="6" spans="1:21" x14ac:dyDescent="0.35">
      <c r="A6" s="16">
        <v>1</v>
      </c>
      <c r="B6" s="16" t="s">
        <v>104</v>
      </c>
      <c r="C6" s="17">
        <v>1859.79</v>
      </c>
      <c r="D6" s="18">
        <v>0.20979999999999999</v>
      </c>
      <c r="E6" s="16">
        <v>260344.8</v>
      </c>
      <c r="F6" s="18">
        <v>0.18390000000000001</v>
      </c>
    </row>
    <row r="7" spans="1:21" x14ac:dyDescent="0.35">
      <c r="A7" s="19">
        <v>2</v>
      </c>
      <c r="B7" s="19" t="s">
        <v>105</v>
      </c>
      <c r="C7" s="19">
        <v>772.62</v>
      </c>
      <c r="D7" s="20">
        <v>8.72E-2</v>
      </c>
      <c r="E7" s="19">
        <v>114007.15</v>
      </c>
      <c r="F7" s="20">
        <v>8.0500000000000002E-2</v>
      </c>
      <c r="I7" s="23">
        <v>45017</v>
      </c>
      <c r="J7" s="23">
        <v>45047</v>
      </c>
      <c r="K7" s="23">
        <v>45078</v>
      </c>
      <c r="L7" s="23">
        <v>45108</v>
      </c>
      <c r="M7" s="23">
        <v>45139</v>
      </c>
      <c r="N7" s="23">
        <v>45170</v>
      </c>
      <c r="O7" s="23">
        <v>45200</v>
      </c>
      <c r="P7" s="23">
        <v>45231</v>
      </c>
      <c r="Q7" s="23">
        <v>45261</v>
      </c>
      <c r="R7" s="23">
        <v>45292</v>
      </c>
      <c r="S7" s="23">
        <v>45323</v>
      </c>
      <c r="T7" s="23">
        <v>45352</v>
      </c>
      <c r="U7" s="5" t="s">
        <v>143</v>
      </c>
    </row>
    <row r="8" spans="1:21" x14ac:dyDescent="0.35">
      <c r="A8" s="16">
        <v>3</v>
      </c>
      <c r="B8" s="16" t="s">
        <v>106</v>
      </c>
      <c r="C8" s="16">
        <v>683.07</v>
      </c>
      <c r="D8" s="18">
        <v>7.7100000000000002E-2</v>
      </c>
      <c r="E8" s="16">
        <v>121761.16</v>
      </c>
      <c r="F8" s="18">
        <v>8.5999999999999993E-2</v>
      </c>
      <c r="H8" s="5" t="s">
        <v>141</v>
      </c>
    </row>
    <row r="9" spans="1:21" x14ac:dyDescent="0.35">
      <c r="A9" s="19">
        <v>4</v>
      </c>
      <c r="B9" s="19" t="s">
        <v>107</v>
      </c>
      <c r="C9" s="19">
        <v>569.78</v>
      </c>
      <c r="D9" s="20">
        <v>6.4299999999999996E-2</v>
      </c>
      <c r="E9" s="21">
        <v>87585.09</v>
      </c>
      <c r="F9" s="20">
        <v>6.1899999999999997E-2</v>
      </c>
      <c r="H9" t="s">
        <v>104</v>
      </c>
      <c r="I9">
        <v>260344.8</v>
      </c>
      <c r="J9">
        <v>258141.08</v>
      </c>
      <c r="K9">
        <v>274244.34000000003</v>
      </c>
      <c r="L9">
        <v>278351.31</v>
      </c>
      <c r="M9">
        <v>282946.53000000003</v>
      </c>
      <c r="N9">
        <v>286792.45</v>
      </c>
      <c r="O9">
        <v>297168.32</v>
      </c>
      <c r="P9">
        <v>289387.43</v>
      </c>
      <c r="Q9">
        <v>229753.56</v>
      </c>
      <c r="R9">
        <v>230102.34</v>
      </c>
      <c r="S9">
        <v>231170.06</v>
      </c>
      <c r="T9">
        <v>250484.52</v>
      </c>
      <c r="U9" s="15">
        <f>SUM(I9:T9)</f>
        <v>3168886.74</v>
      </c>
    </row>
    <row r="10" spans="1:21" x14ac:dyDescent="0.35">
      <c r="A10" s="16">
        <v>5</v>
      </c>
      <c r="B10" s="16" t="s">
        <v>108</v>
      </c>
      <c r="C10" s="16">
        <v>433.99</v>
      </c>
      <c r="D10" s="18">
        <v>4.9000000000000002E-2</v>
      </c>
      <c r="E10" s="17">
        <v>73484.77</v>
      </c>
      <c r="F10" s="18">
        <v>5.1900000000000002E-2</v>
      </c>
      <c r="H10" t="s">
        <v>105</v>
      </c>
      <c r="I10">
        <v>114007.15</v>
      </c>
      <c r="J10">
        <v>118039.69</v>
      </c>
      <c r="K10">
        <v>116958.14</v>
      </c>
      <c r="L10">
        <v>122630.19</v>
      </c>
      <c r="M10">
        <v>126876.33</v>
      </c>
      <c r="N10">
        <v>125683.26</v>
      </c>
      <c r="O10">
        <v>133243.89000000001</v>
      </c>
      <c r="P10">
        <v>132126.57</v>
      </c>
      <c r="Q10">
        <v>128746.92</v>
      </c>
      <c r="R10">
        <v>136780.78</v>
      </c>
      <c r="S10">
        <v>144752.39000000001</v>
      </c>
      <c r="T10">
        <v>156929.06</v>
      </c>
      <c r="U10" s="15">
        <f t="shared" ref="U10:U45" si="0">SUM(I10:T10)</f>
        <v>1556774.37</v>
      </c>
    </row>
    <row r="11" spans="1:21" x14ac:dyDescent="0.35">
      <c r="A11" s="19">
        <v>6</v>
      </c>
      <c r="B11" s="19" t="s">
        <v>109</v>
      </c>
      <c r="C11" s="19">
        <v>391.83</v>
      </c>
      <c r="D11" s="20">
        <v>4.4200000000000003E-2</v>
      </c>
      <c r="E11" s="21">
        <v>64347.76</v>
      </c>
      <c r="F11" s="20">
        <v>4.5499999999999999E-2</v>
      </c>
      <c r="H11" t="s">
        <v>106</v>
      </c>
      <c r="I11">
        <v>121761.16</v>
      </c>
      <c r="J11">
        <v>129532.28</v>
      </c>
      <c r="K11">
        <v>129049.85</v>
      </c>
      <c r="L11">
        <v>127885.79</v>
      </c>
      <c r="M11">
        <v>127817.82</v>
      </c>
      <c r="N11">
        <v>121128.45</v>
      </c>
      <c r="O11">
        <v>132269.35</v>
      </c>
      <c r="P11">
        <v>118988.81</v>
      </c>
      <c r="Q11">
        <v>115581.23</v>
      </c>
      <c r="R11">
        <v>118540.28</v>
      </c>
      <c r="S11">
        <v>130330.17</v>
      </c>
      <c r="T11">
        <v>140637.92000000001</v>
      </c>
      <c r="U11" s="15">
        <f t="shared" si="0"/>
        <v>1513523.1099999999</v>
      </c>
    </row>
    <row r="12" spans="1:21" x14ac:dyDescent="0.35">
      <c r="A12" s="16">
        <v>7</v>
      </c>
      <c r="B12" s="16" t="s">
        <v>110</v>
      </c>
      <c r="C12" s="16">
        <v>375.53</v>
      </c>
      <c r="D12" s="18">
        <v>4.24E-2</v>
      </c>
      <c r="E12" s="17">
        <v>56076.31</v>
      </c>
      <c r="F12" s="18">
        <v>3.9600000000000003E-2</v>
      </c>
      <c r="H12" t="s">
        <v>107</v>
      </c>
      <c r="I12">
        <v>87585.09</v>
      </c>
      <c r="J12">
        <v>94729.13</v>
      </c>
      <c r="K12">
        <v>90290.44</v>
      </c>
      <c r="L12">
        <v>90963.74</v>
      </c>
      <c r="M12">
        <v>94133.08</v>
      </c>
      <c r="N12">
        <v>95195.96</v>
      </c>
      <c r="O12">
        <v>107856.43</v>
      </c>
      <c r="P12">
        <v>131905.47</v>
      </c>
      <c r="Q12">
        <v>118318.89</v>
      </c>
      <c r="R12">
        <v>123049.67</v>
      </c>
      <c r="S12">
        <v>131906.82999999999</v>
      </c>
      <c r="T12">
        <v>141964.06</v>
      </c>
      <c r="U12" s="15">
        <f t="shared" si="0"/>
        <v>1307898.7900000003</v>
      </c>
    </row>
    <row r="13" spans="1:21" x14ac:dyDescent="0.35">
      <c r="A13" s="19">
        <v>8</v>
      </c>
      <c r="B13" s="19" t="s">
        <v>111</v>
      </c>
      <c r="C13" s="19">
        <v>330.04</v>
      </c>
      <c r="D13" s="20">
        <v>3.7199999999999997E-2</v>
      </c>
      <c r="E13" s="21">
        <v>46799.01</v>
      </c>
      <c r="F13" s="20">
        <v>3.3099999999999997E-2</v>
      </c>
      <c r="H13" t="s">
        <v>108</v>
      </c>
      <c r="I13">
        <v>73484.77</v>
      </c>
      <c r="J13">
        <v>78145.83</v>
      </c>
      <c r="K13">
        <v>79245.179999999993</v>
      </c>
      <c r="L13">
        <v>83009.09</v>
      </c>
      <c r="M13">
        <v>84388.17</v>
      </c>
      <c r="N13">
        <v>85968.46</v>
      </c>
      <c r="O13">
        <v>81040.7</v>
      </c>
      <c r="P13">
        <v>87369.93</v>
      </c>
      <c r="Q13">
        <v>83498.19</v>
      </c>
      <c r="R13">
        <v>88612.57</v>
      </c>
      <c r="S13">
        <v>95903.84</v>
      </c>
      <c r="T13">
        <v>103876.55</v>
      </c>
      <c r="U13" s="15">
        <f t="shared" si="0"/>
        <v>1024543.2799999999</v>
      </c>
    </row>
    <row r="14" spans="1:21" x14ac:dyDescent="0.35">
      <c r="A14" s="16">
        <v>9</v>
      </c>
      <c r="B14" s="16" t="s">
        <v>112</v>
      </c>
      <c r="C14" s="16">
        <v>280.81</v>
      </c>
      <c r="D14" s="18">
        <v>3.1699999999999999E-2</v>
      </c>
      <c r="E14" s="17">
        <v>46154.94</v>
      </c>
      <c r="F14" s="18">
        <v>3.2599999999999997E-2</v>
      </c>
      <c r="H14" t="s">
        <v>109</v>
      </c>
      <c r="I14">
        <v>64347.76</v>
      </c>
      <c r="J14">
        <v>59740.76</v>
      </c>
      <c r="K14">
        <v>63711.040000000001</v>
      </c>
      <c r="L14">
        <v>66620.88</v>
      </c>
      <c r="M14">
        <v>67895.740000000005</v>
      </c>
      <c r="N14">
        <v>69250.13</v>
      </c>
      <c r="O14">
        <v>87385.36</v>
      </c>
      <c r="P14">
        <v>72171.990000000005</v>
      </c>
      <c r="Q14">
        <v>74773.600000000006</v>
      </c>
      <c r="R14">
        <v>81026.02</v>
      </c>
      <c r="S14">
        <v>86997.16</v>
      </c>
      <c r="T14">
        <v>91202.44</v>
      </c>
      <c r="U14" s="15">
        <f t="shared" si="0"/>
        <v>885122.88000000012</v>
      </c>
    </row>
    <row r="15" spans="1:21" x14ac:dyDescent="0.35">
      <c r="A15" s="19">
        <v>10</v>
      </c>
      <c r="B15" s="19" t="s">
        <v>113</v>
      </c>
      <c r="C15" s="19">
        <v>279.95999999999998</v>
      </c>
      <c r="D15" s="20">
        <v>3.1600000000000003E-2</v>
      </c>
      <c r="E15" s="21">
        <v>59444.05</v>
      </c>
      <c r="F15" s="20">
        <v>4.2000000000000003E-2</v>
      </c>
      <c r="H15" t="s">
        <v>110</v>
      </c>
      <c r="I15">
        <v>56076.31</v>
      </c>
      <c r="J15">
        <v>55560.85</v>
      </c>
      <c r="K15">
        <v>54882.65</v>
      </c>
      <c r="L15">
        <v>63069.1</v>
      </c>
      <c r="M15">
        <v>69380.56</v>
      </c>
      <c r="N15">
        <v>66104.53</v>
      </c>
      <c r="O15">
        <v>72771.58</v>
      </c>
      <c r="P15">
        <v>74471.53</v>
      </c>
      <c r="Q15">
        <v>84149.99</v>
      </c>
      <c r="R15">
        <v>90296.94</v>
      </c>
      <c r="S15">
        <v>68550.320000000007</v>
      </c>
      <c r="T15">
        <v>76913.899999999994</v>
      </c>
      <c r="U15" s="15">
        <f t="shared" si="0"/>
        <v>832228.26000000013</v>
      </c>
    </row>
    <row r="16" spans="1:21" x14ac:dyDescent="0.35">
      <c r="A16" s="16">
        <v>11</v>
      </c>
      <c r="B16" s="16" t="s">
        <v>114</v>
      </c>
      <c r="C16" s="16">
        <v>267.97000000000003</v>
      </c>
      <c r="D16" s="18">
        <v>3.0200000000000001E-2</v>
      </c>
      <c r="E16" s="17">
        <v>48787.79</v>
      </c>
      <c r="F16" s="18">
        <v>3.4500000000000003E-2</v>
      </c>
      <c r="H16" t="s">
        <v>111</v>
      </c>
      <c r="I16">
        <v>46799.01</v>
      </c>
      <c r="J16">
        <v>63055.85</v>
      </c>
      <c r="K16">
        <v>55593.65</v>
      </c>
      <c r="L16">
        <v>54276.07</v>
      </c>
      <c r="M16">
        <v>52953.64</v>
      </c>
      <c r="N16">
        <v>55139.92</v>
      </c>
      <c r="O16">
        <v>60577.68</v>
      </c>
      <c r="P16">
        <v>61568.09</v>
      </c>
      <c r="Q16">
        <v>53739.43</v>
      </c>
      <c r="R16">
        <v>62297.59</v>
      </c>
      <c r="S16">
        <v>88395.93</v>
      </c>
      <c r="T16">
        <v>97168.4</v>
      </c>
      <c r="U16" s="15">
        <f t="shared" si="0"/>
        <v>751565.26000000013</v>
      </c>
    </row>
    <row r="17" spans="1:21" x14ac:dyDescent="0.35">
      <c r="A17" s="19">
        <v>12</v>
      </c>
      <c r="B17" s="19" t="s">
        <v>115</v>
      </c>
      <c r="C17" s="19">
        <v>233.46</v>
      </c>
      <c r="D17" s="20">
        <v>2.63E-2</v>
      </c>
      <c r="E17" s="21">
        <v>43922.05</v>
      </c>
      <c r="F17" s="20">
        <v>3.1E-2</v>
      </c>
      <c r="H17" t="s">
        <v>112</v>
      </c>
      <c r="I17">
        <v>46154.94</v>
      </c>
      <c r="J17">
        <v>64986.38</v>
      </c>
      <c r="K17">
        <v>62976.99</v>
      </c>
      <c r="L17">
        <v>67084.86</v>
      </c>
      <c r="M17">
        <v>69909.850000000006</v>
      </c>
      <c r="N17">
        <v>67178.11</v>
      </c>
      <c r="O17">
        <v>57809.55</v>
      </c>
      <c r="P17">
        <v>74054.42</v>
      </c>
      <c r="Q17">
        <v>49607.1</v>
      </c>
      <c r="R17">
        <v>53572.83</v>
      </c>
      <c r="S17">
        <v>57779.48</v>
      </c>
      <c r="T17">
        <v>59757.19</v>
      </c>
      <c r="U17" s="15">
        <f t="shared" si="0"/>
        <v>730871.7</v>
      </c>
    </row>
    <row r="18" spans="1:21" x14ac:dyDescent="0.35">
      <c r="A18" s="16">
        <v>13</v>
      </c>
      <c r="B18" s="16" t="s">
        <v>116</v>
      </c>
      <c r="C18" s="16">
        <v>225.35</v>
      </c>
      <c r="D18" s="18">
        <v>2.5399999999999999E-2</v>
      </c>
      <c r="E18" s="17">
        <v>35256.239999999998</v>
      </c>
      <c r="F18" s="18">
        <v>2.4899999999999999E-2</v>
      </c>
      <c r="H18" t="s">
        <v>113</v>
      </c>
      <c r="I18">
        <v>59444.05</v>
      </c>
      <c r="J18">
        <v>47894.81</v>
      </c>
      <c r="K18">
        <v>46487.59</v>
      </c>
      <c r="L18">
        <v>49555.82</v>
      </c>
      <c r="M18">
        <v>51778.19</v>
      </c>
      <c r="N18">
        <v>51590.99</v>
      </c>
      <c r="O18">
        <v>71941.95</v>
      </c>
      <c r="P18">
        <v>60451.55</v>
      </c>
      <c r="Q18">
        <v>57762.41</v>
      </c>
      <c r="R18">
        <v>62424.28</v>
      </c>
      <c r="S18">
        <v>65518.15</v>
      </c>
      <c r="T18">
        <v>72235.02</v>
      </c>
      <c r="U18" s="15">
        <f t="shared" si="0"/>
        <v>697084.81</v>
      </c>
    </row>
    <row r="19" spans="1:21" x14ac:dyDescent="0.35">
      <c r="A19" s="19">
        <v>14</v>
      </c>
      <c r="B19" s="19" t="s">
        <v>117</v>
      </c>
      <c r="C19" s="19">
        <v>201.13</v>
      </c>
      <c r="D19" s="20">
        <v>2.2700000000000001E-2</v>
      </c>
      <c r="E19" s="21">
        <v>31243.16</v>
      </c>
      <c r="F19" s="20">
        <v>2.2100000000000002E-2</v>
      </c>
      <c r="H19" t="s">
        <v>114</v>
      </c>
      <c r="I19">
        <v>48787.79</v>
      </c>
      <c r="J19">
        <v>51363.73</v>
      </c>
      <c r="K19">
        <v>49603.55</v>
      </c>
      <c r="L19">
        <v>50112.15</v>
      </c>
      <c r="M19">
        <v>47814.69</v>
      </c>
      <c r="N19">
        <v>48595.98</v>
      </c>
      <c r="O19">
        <v>54202.12</v>
      </c>
      <c r="P19">
        <v>58262.18</v>
      </c>
      <c r="Q19">
        <v>55538.69</v>
      </c>
      <c r="R19">
        <v>57546.14</v>
      </c>
      <c r="S19">
        <v>65150.33</v>
      </c>
      <c r="T19">
        <v>68656.44</v>
      </c>
      <c r="U19" s="15">
        <f t="shared" si="0"/>
        <v>655633.79</v>
      </c>
    </row>
    <row r="20" spans="1:21" x14ac:dyDescent="0.35">
      <c r="A20" s="16">
        <v>15</v>
      </c>
      <c r="B20" s="16" t="s">
        <v>118</v>
      </c>
      <c r="C20" s="16">
        <v>184.79</v>
      </c>
      <c r="D20" s="18">
        <v>2.0799999999999999E-2</v>
      </c>
      <c r="E20" s="17">
        <v>28296.73</v>
      </c>
      <c r="F20" s="18">
        <v>0.02</v>
      </c>
      <c r="H20" t="s">
        <v>115</v>
      </c>
      <c r="I20">
        <v>43922.05</v>
      </c>
      <c r="J20">
        <v>48233.440000000002</v>
      </c>
      <c r="K20">
        <v>48095.78</v>
      </c>
      <c r="L20">
        <v>46720.09</v>
      </c>
      <c r="M20">
        <v>48819.44</v>
      </c>
      <c r="N20">
        <v>48707.55</v>
      </c>
      <c r="O20">
        <v>54677.68</v>
      </c>
      <c r="P20">
        <v>53753.8</v>
      </c>
      <c r="Q20">
        <v>53216.78</v>
      </c>
      <c r="R20">
        <v>57876.9</v>
      </c>
      <c r="S20">
        <v>61540.67</v>
      </c>
      <c r="T20">
        <v>66683.59</v>
      </c>
      <c r="U20" s="15">
        <f t="shared" si="0"/>
        <v>632247.77</v>
      </c>
    </row>
    <row r="21" spans="1:21" x14ac:dyDescent="0.35">
      <c r="A21" s="19">
        <v>16</v>
      </c>
      <c r="B21" s="19" t="s">
        <v>119</v>
      </c>
      <c r="C21" s="19">
        <v>123.33</v>
      </c>
      <c r="D21" s="20">
        <v>1.3899999999999999E-2</v>
      </c>
      <c r="E21" s="21">
        <v>21576.93</v>
      </c>
      <c r="F21" s="20">
        <v>1.52E-2</v>
      </c>
      <c r="H21" t="s">
        <v>116</v>
      </c>
      <c r="I21">
        <v>35256.239999999998</v>
      </c>
      <c r="J21">
        <v>36868.32</v>
      </c>
      <c r="K21">
        <v>35090.230000000003</v>
      </c>
      <c r="L21">
        <v>37267.08</v>
      </c>
      <c r="M21">
        <v>38322.050000000003</v>
      </c>
      <c r="N21">
        <v>39655.160000000003</v>
      </c>
      <c r="O21">
        <v>44962.400000000001</v>
      </c>
      <c r="P21">
        <v>45139.63</v>
      </c>
      <c r="Q21">
        <v>45897.55</v>
      </c>
      <c r="R21">
        <v>46875.26</v>
      </c>
      <c r="S21">
        <v>46490.93</v>
      </c>
      <c r="T21">
        <v>50497.34</v>
      </c>
      <c r="U21" s="15">
        <f t="shared" si="0"/>
        <v>502322.18999999994</v>
      </c>
    </row>
    <row r="22" spans="1:21" x14ac:dyDescent="0.35">
      <c r="A22" s="16">
        <v>17</v>
      </c>
      <c r="B22" s="16" t="s">
        <v>120</v>
      </c>
      <c r="C22" s="16">
        <v>93.42</v>
      </c>
      <c r="D22" s="18">
        <v>1.0500000000000001E-2</v>
      </c>
      <c r="E22" s="17">
        <v>14905.34</v>
      </c>
      <c r="F22" s="18">
        <v>1.0500000000000001E-2</v>
      </c>
      <c r="H22" t="s">
        <v>117</v>
      </c>
      <c r="I22">
        <v>31243.16</v>
      </c>
      <c r="J22">
        <v>34118.36</v>
      </c>
      <c r="K22">
        <v>32879.15</v>
      </c>
      <c r="L22">
        <v>33854.519999999997</v>
      </c>
      <c r="M22">
        <v>37438.699999999997</v>
      </c>
      <c r="N22">
        <v>35412.25</v>
      </c>
      <c r="O22">
        <v>36657.160000000003</v>
      </c>
      <c r="P22">
        <v>36759.86</v>
      </c>
      <c r="Q22">
        <v>39059.74</v>
      </c>
      <c r="R22">
        <v>40654.71</v>
      </c>
      <c r="S22">
        <v>40495.11</v>
      </c>
      <c r="T22">
        <v>43820.87</v>
      </c>
      <c r="U22" s="15">
        <f t="shared" si="0"/>
        <v>442393.59</v>
      </c>
    </row>
    <row r="23" spans="1:21" x14ac:dyDescent="0.35">
      <c r="A23" s="19">
        <v>18</v>
      </c>
      <c r="B23" s="19" t="s">
        <v>121</v>
      </c>
      <c r="C23" s="19">
        <v>81.02</v>
      </c>
      <c r="D23" s="20">
        <v>9.1000000000000004E-3</v>
      </c>
      <c r="E23" s="21">
        <v>14333.08</v>
      </c>
      <c r="F23" s="20">
        <v>1.01E-2</v>
      </c>
      <c r="H23" t="s">
        <v>118</v>
      </c>
      <c r="I23">
        <v>28296.73</v>
      </c>
      <c r="J23">
        <v>30136.959999999999</v>
      </c>
      <c r="K23">
        <v>30051.56</v>
      </c>
      <c r="L23">
        <v>31154.66</v>
      </c>
      <c r="M23">
        <v>30594.38</v>
      </c>
      <c r="N23">
        <v>31146.94</v>
      </c>
      <c r="O23">
        <v>34574.49</v>
      </c>
      <c r="P23">
        <v>34247.19</v>
      </c>
      <c r="Q23">
        <v>34650.83</v>
      </c>
      <c r="R23">
        <v>37962.410000000003</v>
      </c>
      <c r="S23">
        <v>40959.410000000003</v>
      </c>
      <c r="T23">
        <v>44213.71</v>
      </c>
      <c r="U23" s="15">
        <f t="shared" si="0"/>
        <v>407989.27000000008</v>
      </c>
    </row>
    <row r="24" spans="1:21" x14ac:dyDescent="0.35">
      <c r="A24" s="16">
        <v>19</v>
      </c>
      <c r="B24" s="16" t="s">
        <v>122</v>
      </c>
      <c r="C24" s="16">
        <v>79.239999999999995</v>
      </c>
      <c r="D24" s="18">
        <v>8.8999999999999999E-3</v>
      </c>
      <c r="E24" s="17">
        <v>11091.58</v>
      </c>
      <c r="F24" s="18">
        <v>7.7999999999999996E-3</v>
      </c>
      <c r="H24" t="s">
        <v>119</v>
      </c>
      <c r="I24">
        <v>21576.93</v>
      </c>
      <c r="J24">
        <v>23478.73</v>
      </c>
      <c r="K24">
        <v>22242.080000000002</v>
      </c>
      <c r="L24">
        <v>23480.6</v>
      </c>
      <c r="M24">
        <v>24812.53</v>
      </c>
      <c r="N24">
        <v>24711.78</v>
      </c>
      <c r="O24">
        <v>27543.17</v>
      </c>
      <c r="P24">
        <v>28826.5</v>
      </c>
      <c r="Q24">
        <v>28595.01</v>
      </c>
      <c r="R24">
        <v>28653.41</v>
      </c>
      <c r="S24">
        <v>28920.21</v>
      </c>
      <c r="T24">
        <v>31180.39</v>
      </c>
      <c r="U24" s="15">
        <f t="shared" si="0"/>
        <v>314021.34000000003</v>
      </c>
    </row>
    <row r="25" spans="1:21" x14ac:dyDescent="0.35">
      <c r="A25" s="19">
        <v>20</v>
      </c>
      <c r="B25" s="19" t="s">
        <v>123</v>
      </c>
      <c r="C25" s="19">
        <v>78.23</v>
      </c>
      <c r="D25" s="20">
        <v>8.8000000000000005E-3</v>
      </c>
      <c r="E25" s="21">
        <v>11254.99</v>
      </c>
      <c r="F25" s="20">
        <v>8.0000000000000002E-3</v>
      </c>
      <c r="H25" t="s">
        <v>120</v>
      </c>
      <c r="I25">
        <v>14905.34</v>
      </c>
      <c r="J25">
        <v>14415.31</v>
      </c>
      <c r="K25">
        <v>14075.95</v>
      </c>
      <c r="L25">
        <v>14277.91</v>
      </c>
      <c r="M25">
        <v>15516.16</v>
      </c>
      <c r="N25">
        <v>15968.78</v>
      </c>
      <c r="O25">
        <v>17712.04</v>
      </c>
      <c r="P25">
        <v>17742.21</v>
      </c>
      <c r="Q25">
        <v>19260.59</v>
      </c>
      <c r="R25">
        <v>19328.2</v>
      </c>
      <c r="S25">
        <v>21725.42</v>
      </c>
      <c r="T25">
        <v>24035.14</v>
      </c>
      <c r="U25" s="15">
        <f t="shared" si="0"/>
        <v>208963.05000000005</v>
      </c>
    </row>
    <row r="26" spans="1:21" x14ac:dyDescent="0.35">
      <c r="A26" s="16">
        <v>21</v>
      </c>
      <c r="B26" s="16" t="s">
        <v>124</v>
      </c>
      <c r="C26" s="16">
        <v>34.96</v>
      </c>
      <c r="D26" s="18">
        <v>3.8999999999999998E-3</v>
      </c>
      <c r="E26" s="17">
        <v>4786.04</v>
      </c>
      <c r="F26" s="18">
        <v>3.3999999999999998E-3</v>
      </c>
      <c r="H26" t="s">
        <v>121</v>
      </c>
      <c r="I26">
        <v>14333.08</v>
      </c>
      <c r="J26">
        <v>14937.13</v>
      </c>
      <c r="K26">
        <v>13802.1</v>
      </c>
      <c r="L26">
        <v>14637.06</v>
      </c>
      <c r="M26">
        <v>14547.31</v>
      </c>
      <c r="N26">
        <v>14937.74</v>
      </c>
      <c r="O26">
        <v>16946.849999999999</v>
      </c>
      <c r="P26">
        <v>17829.16</v>
      </c>
      <c r="Q26">
        <v>17256.71</v>
      </c>
      <c r="R26">
        <v>19230.38</v>
      </c>
      <c r="S26">
        <v>20410.18</v>
      </c>
      <c r="T26">
        <v>22507.82</v>
      </c>
      <c r="U26" s="15">
        <f t="shared" si="0"/>
        <v>201375.52</v>
      </c>
    </row>
    <row r="27" spans="1:21" x14ac:dyDescent="0.35">
      <c r="A27" s="19">
        <v>22</v>
      </c>
      <c r="B27" s="19" t="s">
        <v>125</v>
      </c>
      <c r="C27" s="19">
        <v>28.44</v>
      </c>
      <c r="D27" s="20">
        <v>3.2000000000000002E-3</v>
      </c>
      <c r="E27" s="21">
        <v>4783.74</v>
      </c>
      <c r="F27" s="20">
        <v>3.3999999999999998E-3</v>
      </c>
      <c r="H27" t="s">
        <v>122</v>
      </c>
      <c r="I27">
        <v>11091.58</v>
      </c>
      <c r="J27">
        <v>11994.84</v>
      </c>
      <c r="K27">
        <v>11384.06</v>
      </c>
      <c r="L27">
        <v>11730.08</v>
      </c>
      <c r="M27">
        <v>12772.92</v>
      </c>
      <c r="N27">
        <v>12764.1</v>
      </c>
      <c r="O27">
        <v>13782.56</v>
      </c>
      <c r="P27">
        <v>13195.54</v>
      </c>
      <c r="Q27">
        <v>14542.44</v>
      </c>
      <c r="R27">
        <v>15870.58</v>
      </c>
      <c r="S27">
        <v>16359.98</v>
      </c>
      <c r="T27">
        <v>17789.07</v>
      </c>
      <c r="U27" s="15">
        <f t="shared" si="0"/>
        <v>163277.75</v>
      </c>
    </row>
    <row r="28" spans="1:21" x14ac:dyDescent="0.35">
      <c r="A28" s="16">
        <v>23</v>
      </c>
      <c r="B28" s="16" t="s">
        <v>126</v>
      </c>
      <c r="C28" s="16">
        <v>20.03</v>
      </c>
      <c r="D28" s="18">
        <v>2.3E-3</v>
      </c>
      <c r="E28" s="17">
        <v>2988.02</v>
      </c>
      <c r="F28" s="18">
        <v>2.0999999999999999E-3</v>
      </c>
      <c r="H28" t="s">
        <v>123</v>
      </c>
      <c r="I28">
        <v>11254.99</v>
      </c>
      <c r="J28">
        <v>11514.29</v>
      </c>
      <c r="K28">
        <v>10536.22</v>
      </c>
      <c r="L28">
        <v>10785.35</v>
      </c>
      <c r="M28">
        <v>10706.66</v>
      </c>
      <c r="N28">
        <v>11010.69</v>
      </c>
      <c r="O28">
        <v>13132.59</v>
      </c>
      <c r="P28">
        <v>12869.19</v>
      </c>
      <c r="Q28">
        <v>11377.31</v>
      </c>
      <c r="R28">
        <v>11783.03</v>
      </c>
      <c r="S28">
        <v>11651.77</v>
      </c>
      <c r="T28">
        <v>12359.89</v>
      </c>
      <c r="U28" s="15">
        <f t="shared" si="0"/>
        <v>138981.97999999998</v>
      </c>
    </row>
    <row r="29" spans="1:21" x14ac:dyDescent="0.35">
      <c r="A29" s="19">
        <v>24</v>
      </c>
      <c r="B29" s="19" t="s">
        <v>127</v>
      </c>
      <c r="C29" s="19">
        <v>18.64</v>
      </c>
      <c r="D29" s="20">
        <v>2.0999999999999999E-3</v>
      </c>
      <c r="E29" s="21">
        <v>2531.42</v>
      </c>
      <c r="F29" s="20">
        <v>1.8E-3</v>
      </c>
      <c r="H29" t="s">
        <v>124</v>
      </c>
      <c r="I29">
        <v>4786.04</v>
      </c>
      <c r="J29">
        <v>5312.81</v>
      </c>
      <c r="K29">
        <v>5510.42</v>
      </c>
      <c r="L29">
        <v>4716.7299999999996</v>
      </c>
      <c r="M29">
        <v>4698.18</v>
      </c>
      <c r="N29">
        <v>5035.7700000000004</v>
      </c>
      <c r="O29">
        <v>5717.15</v>
      </c>
      <c r="P29">
        <v>5732.29</v>
      </c>
      <c r="Q29">
        <v>5760.84</v>
      </c>
      <c r="R29">
        <v>6368.15</v>
      </c>
      <c r="S29">
        <v>6584.35</v>
      </c>
      <c r="T29">
        <v>7489.54</v>
      </c>
      <c r="U29" s="15">
        <f t="shared" si="0"/>
        <v>67712.26999999999</v>
      </c>
    </row>
    <row r="30" spans="1:21" x14ac:dyDescent="0.35">
      <c r="A30" s="16">
        <v>25</v>
      </c>
      <c r="B30" s="16" t="s">
        <v>128</v>
      </c>
      <c r="C30" s="16">
        <v>9.52</v>
      </c>
      <c r="D30" s="18">
        <v>1.1000000000000001E-3</v>
      </c>
      <c r="E30" s="17">
        <v>1432.15</v>
      </c>
      <c r="F30" s="18">
        <v>1E-3</v>
      </c>
      <c r="H30" t="s">
        <v>125</v>
      </c>
      <c r="I30">
        <v>4783.74</v>
      </c>
      <c r="J30">
        <v>5046.91</v>
      </c>
      <c r="K30">
        <v>5058.3500000000004</v>
      </c>
      <c r="L30">
        <v>5337.27</v>
      </c>
      <c r="M30">
        <v>5283.63</v>
      </c>
      <c r="N30">
        <v>5399.43</v>
      </c>
      <c r="O30">
        <v>6198.21</v>
      </c>
      <c r="P30">
        <v>6345.35</v>
      </c>
      <c r="Q30">
        <v>6135.21</v>
      </c>
      <c r="R30">
        <v>5787.9</v>
      </c>
      <c r="S30">
        <v>5847.83</v>
      </c>
      <c r="T30">
        <v>6624.41</v>
      </c>
      <c r="U30" s="15">
        <f t="shared" si="0"/>
        <v>67848.240000000005</v>
      </c>
    </row>
    <row r="31" spans="1:21" x14ac:dyDescent="0.35">
      <c r="A31" s="19">
        <v>26</v>
      </c>
      <c r="B31" s="19" t="s">
        <v>129</v>
      </c>
      <c r="C31" s="19">
        <v>8.19</v>
      </c>
      <c r="D31" s="20">
        <v>8.9999999999999998E-4</v>
      </c>
      <c r="E31" s="21">
        <v>2155.67</v>
      </c>
      <c r="F31" s="20">
        <v>1.5E-3</v>
      </c>
      <c r="H31" t="s">
        <v>126</v>
      </c>
      <c r="I31">
        <v>2988.02</v>
      </c>
      <c r="J31">
        <v>2965.09</v>
      </c>
      <c r="K31">
        <v>2779.41</v>
      </c>
      <c r="L31">
        <v>2592.6799999999998</v>
      </c>
      <c r="M31">
        <v>2829.23</v>
      </c>
      <c r="N31">
        <v>2853.16</v>
      </c>
      <c r="O31">
        <v>3467.39</v>
      </c>
      <c r="P31">
        <v>3516.93</v>
      </c>
      <c r="Q31">
        <v>4110.01</v>
      </c>
      <c r="R31">
        <v>4317.6899999999996</v>
      </c>
      <c r="S31">
        <v>4282.8599999999997</v>
      </c>
      <c r="T31">
        <v>4197.43</v>
      </c>
      <c r="U31" s="15">
        <f t="shared" si="0"/>
        <v>40899.899999999994</v>
      </c>
    </row>
    <row r="32" spans="1:21" ht="20" x14ac:dyDescent="0.35">
      <c r="A32" s="16">
        <v>27</v>
      </c>
      <c r="B32" s="16" t="s">
        <v>130</v>
      </c>
      <c r="C32" s="16">
        <v>6.62</v>
      </c>
      <c r="D32" s="18">
        <v>6.9999999999999999E-4</v>
      </c>
      <c r="E32" s="17">
        <v>1341.62</v>
      </c>
      <c r="F32" s="18">
        <v>8.9999999999999998E-4</v>
      </c>
      <c r="H32" t="s">
        <v>127</v>
      </c>
      <c r="I32">
        <v>2531.42</v>
      </c>
      <c r="J32">
        <v>2496.89</v>
      </c>
      <c r="K32">
        <v>2430.14</v>
      </c>
      <c r="L32">
        <v>2746.69</v>
      </c>
      <c r="M32">
        <v>2970.56</v>
      </c>
      <c r="N32">
        <v>3017.62</v>
      </c>
      <c r="O32">
        <v>3120.47</v>
      </c>
      <c r="P32">
        <v>3189.81</v>
      </c>
      <c r="Q32">
        <v>2737.91</v>
      </c>
      <c r="R32">
        <v>2843.49</v>
      </c>
      <c r="S32">
        <v>3029.82</v>
      </c>
      <c r="T32">
        <v>3422.7</v>
      </c>
      <c r="U32" s="15">
        <f t="shared" si="0"/>
        <v>34537.519999999997</v>
      </c>
    </row>
    <row r="33" spans="1:21" ht="20" x14ac:dyDescent="0.35">
      <c r="A33" s="19">
        <v>28</v>
      </c>
      <c r="B33" s="19" t="s">
        <v>131</v>
      </c>
      <c r="C33" s="19">
        <v>5.67</v>
      </c>
      <c r="D33" s="20">
        <v>5.9999999999999995E-4</v>
      </c>
      <c r="E33" s="19">
        <v>641.58000000000004</v>
      </c>
      <c r="F33" s="20">
        <v>5.0000000000000001E-4</v>
      </c>
      <c r="H33" t="s">
        <v>128</v>
      </c>
      <c r="I33">
        <v>1432.15</v>
      </c>
      <c r="J33">
        <v>1508.72</v>
      </c>
      <c r="K33">
        <v>1551.66</v>
      </c>
      <c r="L33">
        <v>1653.48</v>
      </c>
      <c r="M33">
        <v>1708.52</v>
      </c>
      <c r="N33">
        <v>1688.3</v>
      </c>
      <c r="O33">
        <v>1767.06</v>
      </c>
      <c r="P33">
        <v>1749</v>
      </c>
      <c r="Q33">
        <v>1834.69</v>
      </c>
      <c r="R33">
        <v>1889.21</v>
      </c>
      <c r="S33">
        <v>1962.33</v>
      </c>
      <c r="T33">
        <v>2067.0500000000002</v>
      </c>
      <c r="U33" s="15">
        <f t="shared" si="0"/>
        <v>20812.170000000002</v>
      </c>
    </row>
    <row r="34" spans="1:21" x14ac:dyDescent="0.35">
      <c r="A34" s="16">
        <v>29</v>
      </c>
      <c r="B34" s="16" t="s">
        <v>132</v>
      </c>
      <c r="C34" s="16">
        <v>5.52</v>
      </c>
      <c r="D34" s="18">
        <v>5.9999999999999995E-4</v>
      </c>
      <c r="E34" s="16">
        <v>993.56</v>
      </c>
      <c r="F34" s="18">
        <v>6.9999999999999999E-4</v>
      </c>
      <c r="H34" t="s">
        <v>129</v>
      </c>
      <c r="I34">
        <v>2155.67</v>
      </c>
      <c r="J34">
        <v>1332.48</v>
      </c>
      <c r="K34">
        <v>1376.41</v>
      </c>
      <c r="L34">
        <v>1373.51</v>
      </c>
      <c r="M34">
        <v>1434.45</v>
      </c>
      <c r="N34">
        <v>1498.65</v>
      </c>
      <c r="O34">
        <v>1604.37</v>
      </c>
      <c r="P34">
        <v>1663.05</v>
      </c>
      <c r="Q34">
        <v>1937.35</v>
      </c>
      <c r="R34">
        <v>1838.79</v>
      </c>
      <c r="S34">
        <v>1942.21</v>
      </c>
      <c r="T34">
        <v>2266.7600000000002</v>
      </c>
      <c r="U34" s="15">
        <f t="shared" si="0"/>
        <v>20423.699999999997</v>
      </c>
    </row>
    <row r="35" spans="1:21" x14ac:dyDescent="0.35">
      <c r="A35" s="19">
        <v>30</v>
      </c>
      <c r="B35" s="19" t="s">
        <v>133</v>
      </c>
      <c r="C35" s="19">
        <v>4.26</v>
      </c>
      <c r="D35" s="20">
        <v>5.0000000000000001E-4</v>
      </c>
      <c r="E35" s="19">
        <v>852.3</v>
      </c>
      <c r="F35" s="20">
        <v>5.9999999999999995E-4</v>
      </c>
      <c r="H35" t="s">
        <v>130</v>
      </c>
      <c r="I35">
        <v>1341.62</v>
      </c>
      <c r="J35">
        <v>1016.47</v>
      </c>
      <c r="K35">
        <v>980.89</v>
      </c>
      <c r="L35">
        <v>1064.8599999999999</v>
      </c>
      <c r="M35">
        <v>1123.71</v>
      </c>
      <c r="N35">
        <v>1274.9100000000001</v>
      </c>
      <c r="O35">
        <v>1429.11</v>
      </c>
      <c r="P35">
        <v>1343.51</v>
      </c>
      <c r="Q35">
        <v>1381.1</v>
      </c>
      <c r="R35">
        <v>1475.69</v>
      </c>
      <c r="S35">
        <v>1676.39</v>
      </c>
      <c r="T35">
        <v>1789.75</v>
      </c>
      <c r="U35" s="15">
        <f t="shared" si="0"/>
        <v>15898.01</v>
      </c>
    </row>
    <row r="36" spans="1:21" x14ac:dyDescent="0.35">
      <c r="A36" s="16">
        <v>31</v>
      </c>
      <c r="B36" s="16" t="s">
        <v>134</v>
      </c>
      <c r="C36" s="16">
        <v>3.64</v>
      </c>
      <c r="D36" s="18">
        <v>4.0000000000000002E-4</v>
      </c>
      <c r="E36" s="16">
        <v>982.4</v>
      </c>
      <c r="F36" s="18">
        <v>6.9999999999999999E-4</v>
      </c>
      <c r="H36" t="s">
        <v>131</v>
      </c>
      <c r="I36">
        <v>641.58000000000004</v>
      </c>
      <c r="J36">
        <v>664.54</v>
      </c>
      <c r="K36">
        <v>651.41</v>
      </c>
      <c r="L36">
        <v>677.01</v>
      </c>
      <c r="M36">
        <v>698.87</v>
      </c>
      <c r="N36">
        <v>718.59</v>
      </c>
      <c r="O36">
        <v>787.39</v>
      </c>
      <c r="P36">
        <v>835.34</v>
      </c>
      <c r="Q36">
        <v>907.49</v>
      </c>
      <c r="R36">
        <v>952.91</v>
      </c>
      <c r="S36">
        <v>961.27</v>
      </c>
      <c r="T36">
        <v>1033.3800000000001</v>
      </c>
      <c r="U36" s="15">
        <f t="shared" si="0"/>
        <v>9529.7799999999988</v>
      </c>
    </row>
    <row r="37" spans="1:21" x14ac:dyDescent="0.35">
      <c r="A37" s="19">
        <v>32</v>
      </c>
      <c r="B37" s="19" t="s">
        <v>135</v>
      </c>
      <c r="C37" s="19">
        <v>3.44</v>
      </c>
      <c r="D37" s="20">
        <v>4.0000000000000002E-4</v>
      </c>
      <c r="E37" s="19">
        <v>660.99</v>
      </c>
      <c r="F37" s="20">
        <v>5.0000000000000001E-4</v>
      </c>
      <c r="H37" t="s">
        <v>132</v>
      </c>
      <c r="I37">
        <v>993.56</v>
      </c>
      <c r="J37">
        <v>839.74</v>
      </c>
      <c r="K37">
        <v>1176.33</v>
      </c>
      <c r="L37">
        <v>1204.72</v>
      </c>
      <c r="M37">
        <v>1098.18</v>
      </c>
      <c r="N37">
        <v>1240.1500000000001</v>
      </c>
      <c r="O37">
        <v>1350.3</v>
      </c>
      <c r="P37">
        <v>1169.9000000000001</v>
      </c>
      <c r="Q37">
        <v>1341.47</v>
      </c>
      <c r="R37">
        <v>1178.3800000000001</v>
      </c>
      <c r="S37">
        <v>1350.39</v>
      </c>
      <c r="T37">
        <v>1527.77</v>
      </c>
      <c r="U37" s="15">
        <f t="shared" si="0"/>
        <v>14470.89</v>
      </c>
    </row>
    <row r="38" spans="1:21" x14ac:dyDescent="0.35">
      <c r="A38" s="16">
        <v>33</v>
      </c>
      <c r="B38" s="16" t="s">
        <v>136</v>
      </c>
      <c r="C38" s="16">
        <v>3.25</v>
      </c>
      <c r="D38" s="18">
        <v>4.0000000000000002E-4</v>
      </c>
      <c r="E38" s="16">
        <v>774.43</v>
      </c>
      <c r="F38" s="18">
        <v>5.0000000000000001E-4</v>
      </c>
      <c r="H38" t="s">
        <v>133</v>
      </c>
      <c r="I38">
        <v>852.3</v>
      </c>
      <c r="J38">
        <v>1045.51</v>
      </c>
      <c r="K38">
        <v>811.42</v>
      </c>
      <c r="L38">
        <v>950.01</v>
      </c>
      <c r="M38">
        <v>1245.07</v>
      </c>
      <c r="N38">
        <v>959.02</v>
      </c>
      <c r="O38">
        <v>1063.95</v>
      </c>
      <c r="P38">
        <v>1349.79</v>
      </c>
      <c r="Q38">
        <v>1630.29</v>
      </c>
      <c r="R38">
        <v>1730.66</v>
      </c>
      <c r="S38">
        <v>1756.54</v>
      </c>
      <c r="T38">
        <v>2149.56</v>
      </c>
      <c r="U38" s="15">
        <f t="shared" si="0"/>
        <v>15544.12</v>
      </c>
    </row>
    <row r="39" spans="1:21" x14ac:dyDescent="0.35">
      <c r="A39" s="19">
        <v>34</v>
      </c>
      <c r="B39" s="19" t="s">
        <v>137</v>
      </c>
      <c r="C39" s="19">
        <v>1.6</v>
      </c>
      <c r="D39" s="20">
        <v>2.0000000000000001E-4</v>
      </c>
      <c r="E39" s="19">
        <v>334.49</v>
      </c>
      <c r="F39" s="20">
        <v>2.0000000000000001E-4</v>
      </c>
      <c r="H39" t="s">
        <v>134</v>
      </c>
      <c r="I39">
        <v>982.4</v>
      </c>
      <c r="J39">
        <v>719.96</v>
      </c>
      <c r="K39">
        <v>718.62</v>
      </c>
      <c r="L39">
        <v>923.43</v>
      </c>
      <c r="M39">
        <v>939.12</v>
      </c>
      <c r="N39">
        <v>1000.59</v>
      </c>
      <c r="O39">
        <v>1067.95</v>
      </c>
      <c r="P39">
        <v>1170.8800000000001</v>
      </c>
      <c r="Q39">
        <v>1401.33</v>
      </c>
      <c r="R39">
        <v>1259.0999999999999</v>
      </c>
      <c r="S39">
        <v>1402.9</v>
      </c>
      <c r="T39">
        <v>1688.06</v>
      </c>
      <c r="U39" s="15">
        <f t="shared" si="0"/>
        <v>13274.339999999998</v>
      </c>
    </row>
    <row r="40" spans="1:21" x14ac:dyDescent="0.35">
      <c r="A40" s="16">
        <v>35</v>
      </c>
      <c r="B40" s="16" t="s">
        <v>138</v>
      </c>
      <c r="C40" s="16">
        <v>1.39</v>
      </c>
      <c r="D40" s="18">
        <v>2.0000000000000001E-4</v>
      </c>
      <c r="E40" s="16">
        <v>368.52</v>
      </c>
      <c r="F40" s="18">
        <v>2.9999999999999997E-4</v>
      </c>
      <c r="H40" t="s">
        <v>135</v>
      </c>
      <c r="I40">
        <v>660.99</v>
      </c>
      <c r="J40">
        <v>910.78</v>
      </c>
      <c r="K40">
        <v>905.89</v>
      </c>
      <c r="L40">
        <v>645.73</v>
      </c>
      <c r="M40">
        <v>644.83000000000004</v>
      </c>
      <c r="N40">
        <v>683.81</v>
      </c>
      <c r="O40">
        <v>1333.58</v>
      </c>
      <c r="P40">
        <v>1434.65</v>
      </c>
      <c r="Q40">
        <v>1217.18</v>
      </c>
      <c r="R40">
        <v>1092.04</v>
      </c>
      <c r="S40">
        <v>1229.93</v>
      </c>
      <c r="T40">
        <v>1328.97</v>
      </c>
      <c r="U40" s="15">
        <f t="shared" si="0"/>
        <v>12088.38</v>
      </c>
    </row>
    <row r="41" spans="1:21" x14ac:dyDescent="0.35">
      <c r="A41" s="19">
        <v>36</v>
      </c>
      <c r="B41" s="19" t="s">
        <v>139</v>
      </c>
      <c r="C41" s="19">
        <v>0.09</v>
      </c>
      <c r="D41" s="20">
        <v>0</v>
      </c>
      <c r="E41" s="19">
        <v>23.34</v>
      </c>
      <c r="F41" s="20">
        <v>0</v>
      </c>
      <c r="H41" t="s">
        <v>136</v>
      </c>
      <c r="I41">
        <v>774.43</v>
      </c>
      <c r="J41">
        <v>669.27</v>
      </c>
      <c r="K41">
        <v>497.29</v>
      </c>
      <c r="L41">
        <v>483.88</v>
      </c>
      <c r="M41">
        <v>770.73</v>
      </c>
      <c r="N41">
        <v>1069.54</v>
      </c>
      <c r="O41">
        <v>697.17</v>
      </c>
      <c r="P41">
        <v>662.18</v>
      </c>
      <c r="Q41">
        <v>806.34</v>
      </c>
      <c r="R41">
        <v>786.07</v>
      </c>
      <c r="S41">
        <v>795.78</v>
      </c>
      <c r="T41">
        <v>890.91</v>
      </c>
      <c r="U41" s="15">
        <f t="shared" si="0"/>
        <v>8903.59</v>
      </c>
    </row>
    <row r="42" spans="1:21" x14ac:dyDescent="0.35">
      <c r="A42" s="16">
        <v>37</v>
      </c>
      <c r="B42" s="16" t="s">
        <v>140</v>
      </c>
      <c r="C42" s="17">
        <v>1162.6500000000001</v>
      </c>
      <c r="D42" s="18">
        <v>0.13120000000000001</v>
      </c>
      <c r="E42" s="16">
        <v>199181.5</v>
      </c>
      <c r="F42" s="18">
        <v>0.14069999999999999</v>
      </c>
      <c r="H42" t="s">
        <v>137</v>
      </c>
      <c r="I42">
        <v>334.49</v>
      </c>
      <c r="J42">
        <v>412.84</v>
      </c>
      <c r="K42">
        <v>454.94</v>
      </c>
      <c r="L42">
        <v>318.73</v>
      </c>
      <c r="M42">
        <v>480.89</v>
      </c>
      <c r="N42">
        <v>481.1</v>
      </c>
      <c r="O42">
        <v>396.87</v>
      </c>
      <c r="P42">
        <v>427.62</v>
      </c>
      <c r="Q42">
        <v>491.18</v>
      </c>
      <c r="R42">
        <v>493.51</v>
      </c>
      <c r="S42">
        <v>488.59</v>
      </c>
      <c r="T42">
        <v>525.36</v>
      </c>
      <c r="U42" s="15">
        <f t="shared" si="0"/>
        <v>5306.119999999999</v>
      </c>
    </row>
    <row r="43" spans="1:21" x14ac:dyDescent="0.35">
      <c r="H43" t="s">
        <v>138</v>
      </c>
      <c r="I43">
        <v>368.52</v>
      </c>
      <c r="J43">
        <v>336.3</v>
      </c>
      <c r="K43">
        <v>305.91000000000003</v>
      </c>
      <c r="L43">
        <v>475.02</v>
      </c>
      <c r="M43">
        <v>338.88</v>
      </c>
      <c r="N43">
        <v>347.87</v>
      </c>
      <c r="O43">
        <v>468.85</v>
      </c>
      <c r="P43">
        <v>369.58</v>
      </c>
      <c r="Q43">
        <v>368.7</v>
      </c>
      <c r="R43">
        <v>345.77</v>
      </c>
      <c r="S43">
        <v>339.04</v>
      </c>
      <c r="T43">
        <v>382.57</v>
      </c>
      <c r="U43" s="15">
        <f t="shared" si="0"/>
        <v>4447.0099999999993</v>
      </c>
    </row>
    <row r="44" spans="1:21" x14ac:dyDescent="0.35">
      <c r="H44" t="s">
        <v>139</v>
      </c>
      <c r="I44">
        <v>23.34</v>
      </c>
      <c r="J44">
        <v>21.79</v>
      </c>
      <c r="K44">
        <v>20.5</v>
      </c>
      <c r="L44">
        <v>21.03</v>
      </c>
      <c r="M44">
        <v>23.1</v>
      </c>
      <c r="N44">
        <v>25.16</v>
      </c>
      <c r="O44">
        <v>30.13</v>
      </c>
      <c r="P44">
        <v>32.299999999999997</v>
      </c>
      <c r="Q44">
        <v>36.4</v>
      </c>
      <c r="R44">
        <v>41.42</v>
      </c>
      <c r="S44">
        <v>40.119999999999997</v>
      </c>
      <c r="T44">
        <v>44.73</v>
      </c>
      <c r="U44" s="15">
        <f t="shared" si="0"/>
        <v>360.02</v>
      </c>
    </row>
    <row r="45" spans="1:21" x14ac:dyDescent="0.35">
      <c r="H45" t="s">
        <v>140</v>
      </c>
      <c r="I45">
        <v>199181.5</v>
      </c>
      <c r="J45">
        <v>216957.59</v>
      </c>
      <c r="K45">
        <v>209034.13</v>
      </c>
      <c r="L45">
        <v>230885.29</v>
      </c>
      <c r="M45">
        <v>240823.86</v>
      </c>
      <c r="N45">
        <v>244896.29</v>
      </c>
      <c r="O45">
        <v>269012.53000000003</v>
      </c>
      <c r="P45">
        <v>287627.38</v>
      </c>
      <c r="Q45">
        <v>475524.96</v>
      </c>
      <c r="R45">
        <v>426198.87</v>
      </c>
      <c r="S45">
        <v>339170.69</v>
      </c>
      <c r="T45">
        <v>368010.97</v>
      </c>
      <c r="U45" s="15">
        <f t="shared" si="0"/>
        <v>3507324.0600000005</v>
      </c>
    </row>
    <row r="46" spans="1:21" x14ac:dyDescent="0.35">
      <c r="H46" s="5" t="s">
        <v>144</v>
      </c>
      <c r="I46" s="15">
        <f>SUM(I9:I45)</f>
        <v>1415504.7000000002</v>
      </c>
      <c r="J46" s="15">
        <f t="shared" ref="J46:U46" si="1">SUM(J9:J45)</f>
        <v>1489145.4600000002</v>
      </c>
      <c r="K46" s="15">
        <f t="shared" si="1"/>
        <v>1475464.2699999996</v>
      </c>
      <c r="L46" s="15">
        <f t="shared" si="1"/>
        <v>1533536.42</v>
      </c>
      <c r="M46" s="15">
        <f t="shared" si="1"/>
        <v>1576536.5599999996</v>
      </c>
      <c r="N46" s="15">
        <f t="shared" si="1"/>
        <v>1579133.1900000002</v>
      </c>
      <c r="O46" s="15">
        <f t="shared" si="1"/>
        <v>1715768.35</v>
      </c>
      <c r="P46" s="15">
        <f t="shared" si="1"/>
        <v>1739740.6099999999</v>
      </c>
      <c r="Q46" s="15">
        <f t="shared" si="1"/>
        <v>1822949.4200000002</v>
      </c>
      <c r="R46" s="15">
        <f t="shared" si="1"/>
        <v>1841083.9699999993</v>
      </c>
      <c r="S46" s="15">
        <f t="shared" si="1"/>
        <v>1827869.38</v>
      </c>
      <c r="T46" s="15">
        <f t="shared" si="1"/>
        <v>1978353.24</v>
      </c>
      <c r="U46" s="15">
        <f t="shared" si="1"/>
        <v>19995085.57</v>
      </c>
    </row>
    <row r="49" spans="1:21" ht="18.5" x14ac:dyDescent="0.45">
      <c r="T49" s="33" t="s">
        <v>188</v>
      </c>
    </row>
    <row r="50" spans="1:21" x14ac:dyDescent="0.35">
      <c r="J50" s="5"/>
      <c r="T50" s="5" t="s">
        <v>178</v>
      </c>
      <c r="U50">
        <f>AVERAGE(U9:U44)</f>
        <v>457993.37527777773</v>
      </c>
    </row>
    <row r="51" spans="1:21" x14ac:dyDescent="0.35">
      <c r="A51" s="5"/>
      <c r="B51" s="23">
        <v>45047</v>
      </c>
      <c r="C51" s="5"/>
      <c r="D51" s="5"/>
      <c r="E51" s="5"/>
      <c r="F51" s="5"/>
      <c r="T51" s="5" t="s">
        <v>179</v>
      </c>
      <c r="U51">
        <f>MEDIAN(U9:U44)</f>
        <v>182326.63500000001</v>
      </c>
    </row>
    <row r="52" spans="1:21" ht="14.5" customHeight="1" x14ac:dyDescent="0.35">
      <c r="A52" s="5" t="s">
        <v>30</v>
      </c>
      <c r="B52" s="5" t="s">
        <v>99</v>
      </c>
      <c r="C52" s="5" t="s">
        <v>100</v>
      </c>
      <c r="D52" s="5" t="s">
        <v>101</v>
      </c>
      <c r="E52" s="5" t="s">
        <v>102</v>
      </c>
      <c r="F52" s="5" t="s">
        <v>103</v>
      </c>
      <c r="J52" s="23"/>
      <c r="K52" s="23"/>
      <c r="L52" s="23"/>
      <c r="M52" s="23"/>
      <c r="N52" s="23"/>
      <c r="Q52" s="23"/>
      <c r="R52" s="23"/>
      <c r="S52" s="23"/>
      <c r="T52" s="5" t="s">
        <v>184</v>
      </c>
      <c r="U52">
        <f>_xlfn.STDEV.S(U9:U44)</f>
        <v>648364.55487732135</v>
      </c>
    </row>
    <row r="53" spans="1:21" x14ac:dyDescent="0.35">
      <c r="T53" s="5" t="s">
        <v>180</v>
      </c>
      <c r="U53">
        <f>MAX(U9:U44)</f>
        <v>3168886.74</v>
      </c>
    </row>
    <row r="54" spans="1:21" x14ac:dyDescent="0.35">
      <c r="A54" s="16">
        <v>1</v>
      </c>
      <c r="B54" s="16" t="s">
        <v>104</v>
      </c>
      <c r="C54" s="17">
        <v>1859.62</v>
      </c>
      <c r="D54" s="18">
        <v>0.19750000000000001</v>
      </c>
      <c r="E54" s="16">
        <v>258141.08</v>
      </c>
      <c r="F54" s="18">
        <v>0.17330000000000001</v>
      </c>
      <c r="T54" s="5" t="s">
        <v>185</v>
      </c>
      <c r="U54">
        <f>MIN(U9:U44)</f>
        <v>360.02</v>
      </c>
    </row>
    <row r="55" spans="1:21" x14ac:dyDescent="0.35">
      <c r="A55" s="19">
        <v>2</v>
      </c>
      <c r="B55" s="19" t="s">
        <v>105</v>
      </c>
      <c r="C55" s="19">
        <v>797.62</v>
      </c>
      <c r="D55" s="20">
        <v>8.4699999999999998E-2</v>
      </c>
      <c r="E55" s="19">
        <v>118039.69</v>
      </c>
      <c r="F55" s="20">
        <v>7.9299999999999995E-2</v>
      </c>
      <c r="T55" s="5" t="s">
        <v>181</v>
      </c>
      <c r="U55">
        <f>_xlfn.QUARTILE.INC(U9:U44,1)</f>
        <v>15809.5375</v>
      </c>
    </row>
    <row r="56" spans="1:21" x14ac:dyDescent="0.35">
      <c r="A56" s="16">
        <v>3</v>
      </c>
      <c r="B56" s="16" t="s">
        <v>106</v>
      </c>
      <c r="C56" s="16">
        <v>716.76</v>
      </c>
      <c r="D56" s="18">
        <v>7.6100000000000001E-2</v>
      </c>
      <c r="E56" s="16">
        <v>129532.28</v>
      </c>
      <c r="F56" s="18">
        <v>8.6999999999999994E-2</v>
      </c>
      <c r="T56" s="5" t="s">
        <v>182</v>
      </c>
      <c r="U56">
        <f>_xlfn.QUARTILE.INC(U9:U44,3)</f>
        <v>705531.53249999997</v>
      </c>
    </row>
    <row r="57" spans="1:21" x14ac:dyDescent="0.35">
      <c r="A57" s="19">
        <v>4</v>
      </c>
      <c r="B57" s="19" t="s">
        <v>107</v>
      </c>
      <c r="C57" s="19">
        <v>612.76</v>
      </c>
      <c r="D57" s="20">
        <v>6.5100000000000005E-2</v>
      </c>
      <c r="E57" s="21">
        <v>94729.13</v>
      </c>
      <c r="F57" s="20">
        <v>6.3600000000000004E-2</v>
      </c>
      <c r="T57" s="5" t="s">
        <v>183</v>
      </c>
      <c r="U57">
        <f>U56-U55</f>
        <v>689721.995</v>
      </c>
    </row>
    <row r="58" spans="1:21" x14ac:dyDescent="0.35">
      <c r="A58" s="16">
        <v>5</v>
      </c>
      <c r="B58" s="16" t="s">
        <v>108</v>
      </c>
      <c r="C58" s="16">
        <v>459.82</v>
      </c>
      <c r="D58" s="18">
        <v>4.8800000000000003E-2</v>
      </c>
      <c r="E58" s="17">
        <v>78145.83</v>
      </c>
      <c r="F58" s="18">
        <v>5.2499999999999998E-2</v>
      </c>
      <c r="U58" s="15"/>
    </row>
    <row r="59" spans="1:21" x14ac:dyDescent="0.35">
      <c r="A59" s="19">
        <v>6</v>
      </c>
      <c r="B59" s="19" t="s">
        <v>110</v>
      </c>
      <c r="C59" s="19">
        <v>397.53</v>
      </c>
      <c r="D59" s="20">
        <v>4.2200000000000001E-2</v>
      </c>
      <c r="E59" s="21">
        <v>59740.76</v>
      </c>
      <c r="F59" s="20">
        <v>4.0099999999999997E-2</v>
      </c>
      <c r="U59" s="15"/>
    </row>
    <row r="60" spans="1:21" x14ac:dyDescent="0.35">
      <c r="A60" s="16">
        <v>7</v>
      </c>
      <c r="B60" s="16" t="s">
        <v>111</v>
      </c>
      <c r="C60" s="16">
        <v>387.94</v>
      </c>
      <c r="D60" s="18">
        <v>4.1200000000000001E-2</v>
      </c>
      <c r="E60" s="17">
        <v>55560.85</v>
      </c>
      <c r="F60" s="18">
        <v>3.73E-2</v>
      </c>
      <c r="U60" s="15"/>
    </row>
    <row r="61" spans="1:21" x14ac:dyDescent="0.35">
      <c r="A61" s="19">
        <v>8</v>
      </c>
      <c r="B61" s="19" t="s">
        <v>109</v>
      </c>
      <c r="C61" s="19">
        <v>382.58</v>
      </c>
      <c r="D61" s="20">
        <v>4.0599999999999997E-2</v>
      </c>
      <c r="E61" s="21">
        <v>63055.85</v>
      </c>
      <c r="F61" s="20">
        <v>4.2299999999999997E-2</v>
      </c>
      <c r="U61" s="15"/>
    </row>
    <row r="62" spans="1:21" x14ac:dyDescent="0.35">
      <c r="A62" s="16">
        <v>9</v>
      </c>
      <c r="B62" s="16" t="s">
        <v>113</v>
      </c>
      <c r="C62" s="16">
        <v>300.2</v>
      </c>
      <c r="D62" s="18">
        <v>3.1899999999999998E-2</v>
      </c>
      <c r="E62" s="17">
        <v>64986.38</v>
      </c>
      <c r="F62" s="18">
        <v>4.36E-2</v>
      </c>
      <c r="U62" s="15"/>
    </row>
    <row r="63" spans="1:21" x14ac:dyDescent="0.35">
      <c r="A63" s="19">
        <v>10</v>
      </c>
      <c r="B63" s="19" t="s">
        <v>112</v>
      </c>
      <c r="C63" s="19">
        <v>288.57</v>
      </c>
      <c r="D63" s="20">
        <v>3.0599999999999999E-2</v>
      </c>
      <c r="E63" s="21">
        <v>47894.81</v>
      </c>
      <c r="F63" s="20">
        <v>3.2199999999999999E-2</v>
      </c>
      <c r="U63" s="15"/>
    </row>
    <row r="64" spans="1:21" x14ac:dyDescent="0.35">
      <c r="A64" s="16">
        <v>11</v>
      </c>
      <c r="B64" s="16" t="s">
        <v>114</v>
      </c>
      <c r="C64" s="16">
        <v>280.33999999999997</v>
      </c>
      <c r="D64" s="18">
        <v>2.98E-2</v>
      </c>
      <c r="E64" s="17">
        <v>51363.73</v>
      </c>
      <c r="F64" s="18">
        <v>3.4500000000000003E-2</v>
      </c>
      <c r="U64" s="15"/>
    </row>
    <row r="65" spans="1:21" x14ac:dyDescent="0.35">
      <c r="A65" s="19">
        <v>12</v>
      </c>
      <c r="B65" s="19" t="s">
        <v>115</v>
      </c>
      <c r="C65" s="19">
        <v>263.52</v>
      </c>
      <c r="D65" s="20">
        <v>2.8000000000000001E-2</v>
      </c>
      <c r="E65" s="21">
        <v>48233.440000000002</v>
      </c>
      <c r="F65" s="20">
        <v>3.2399999999999998E-2</v>
      </c>
      <c r="U65" s="15"/>
    </row>
    <row r="66" spans="1:21" x14ac:dyDescent="0.35">
      <c r="A66" s="16">
        <v>13</v>
      </c>
      <c r="B66" s="16" t="s">
        <v>116</v>
      </c>
      <c r="C66" s="16">
        <v>231.21</v>
      </c>
      <c r="D66" s="18">
        <v>2.46E-2</v>
      </c>
      <c r="E66" s="17">
        <v>36868.32</v>
      </c>
      <c r="F66" s="18">
        <v>2.4799999999999999E-2</v>
      </c>
      <c r="U66" s="15"/>
    </row>
    <row r="67" spans="1:21" x14ac:dyDescent="0.35">
      <c r="A67" s="19">
        <v>14</v>
      </c>
      <c r="B67" s="19" t="s">
        <v>117</v>
      </c>
      <c r="C67" s="19">
        <v>219.5</v>
      </c>
      <c r="D67" s="20">
        <v>2.3300000000000001E-2</v>
      </c>
      <c r="E67" s="21">
        <v>34118.36</v>
      </c>
      <c r="F67" s="20">
        <v>2.29E-2</v>
      </c>
      <c r="U67" s="15"/>
    </row>
    <row r="68" spans="1:21" x14ac:dyDescent="0.35">
      <c r="A68" s="16">
        <v>15</v>
      </c>
      <c r="B68" s="16" t="s">
        <v>118</v>
      </c>
      <c r="C68" s="16">
        <v>198.14</v>
      </c>
      <c r="D68" s="18">
        <v>2.1000000000000001E-2</v>
      </c>
      <c r="E68" s="17">
        <v>30136.959999999999</v>
      </c>
      <c r="F68" s="18">
        <v>2.0199999999999999E-2</v>
      </c>
      <c r="U68" s="15"/>
    </row>
    <row r="69" spans="1:21" x14ac:dyDescent="0.35">
      <c r="A69" s="19">
        <v>16</v>
      </c>
      <c r="B69" s="19" t="s">
        <v>119</v>
      </c>
      <c r="C69" s="19">
        <v>129.87</v>
      </c>
      <c r="D69" s="20">
        <v>1.38E-2</v>
      </c>
      <c r="E69" s="21">
        <v>23478.73</v>
      </c>
      <c r="F69" s="20">
        <v>1.5800000000000002E-2</v>
      </c>
      <c r="U69" s="15"/>
    </row>
    <row r="70" spans="1:21" x14ac:dyDescent="0.35">
      <c r="A70" s="16">
        <v>17</v>
      </c>
      <c r="B70" s="16" t="s">
        <v>120</v>
      </c>
      <c r="C70" s="16">
        <v>93.45</v>
      </c>
      <c r="D70" s="18">
        <v>9.9000000000000008E-3</v>
      </c>
      <c r="E70" s="17">
        <v>14415.31</v>
      </c>
      <c r="F70" s="18">
        <v>9.7000000000000003E-3</v>
      </c>
      <c r="U70" s="15"/>
    </row>
    <row r="71" spans="1:21" x14ac:dyDescent="0.35">
      <c r="A71" s="19">
        <v>18</v>
      </c>
      <c r="B71" s="19" t="s">
        <v>121</v>
      </c>
      <c r="C71" s="19">
        <v>90.18</v>
      </c>
      <c r="D71" s="20">
        <v>9.5999999999999992E-3</v>
      </c>
      <c r="E71" s="21">
        <v>14937.13</v>
      </c>
      <c r="F71" s="20">
        <v>0.01</v>
      </c>
      <c r="U71" s="15"/>
    </row>
    <row r="72" spans="1:21" x14ac:dyDescent="0.35">
      <c r="A72" s="16">
        <v>19</v>
      </c>
      <c r="B72" s="16" t="s">
        <v>122</v>
      </c>
      <c r="C72" s="16">
        <v>85.32</v>
      </c>
      <c r="D72" s="18">
        <v>9.1000000000000004E-3</v>
      </c>
      <c r="E72" s="17">
        <v>11994.84</v>
      </c>
      <c r="F72" s="18">
        <v>8.0999999999999996E-3</v>
      </c>
      <c r="U72" s="15"/>
    </row>
    <row r="73" spans="1:21" x14ac:dyDescent="0.35">
      <c r="A73" s="19">
        <v>20</v>
      </c>
      <c r="B73" s="19" t="s">
        <v>123</v>
      </c>
      <c r="C73" s="19">
        <v>80.75</v>
      </c>
      <c r="D73" s="20">
        <v>8.6E-3</v>
      </c>
      <c r="E73" s="21">
        <v>11514.29</v>
      </c>
      <c r="F73" s="20">
        <v>7.7000000000000002E-3</v>
      </c>
      <c r="U73" s="15"/>
    </row>
    <row r="74" spans="1:21" x14ac:dyDescent="0.35">
      <c r="A74" s="16">
        <v>21</v>
      </c>
      <c r="B74" s="16" t="s">
        <v>124</v>
      </c>
      <c r="C74" s="16">
        <v>38.5</v>
      </c>
      <c r="D74" s="18">
        <v>4.1000000000000003E-3</v>
      </c>
      <c r="E74" s="17">
        <v>5312.81</v>
      </c>
      <c r="F74" s="18">
        <v>3.5999999999999999E-3</v>
      </c>
      <c r="U74" s="15"/>
    </row>
    <row r="75" spans="1:21" x14ac:dyDescent="0.35">
      <c r="A75" s="19">
        <v>22</v>
      </c>
      <c r="B75" s="19" t="s">
        <v>125</v>
      </c>
      <c r="C75" s="19">
        <v>32.130000000000003</v>
      </c>
      <c r="D75" s="20">
        <v>3.3999999999999998E-3</v>
      </c>
      <c r="E75" s="21">
        <v>5046.91</v>
      </c>
      <c r="F75" s="20">
        <v>3.3999999999999998E-3</v>
      </c>
      <c r="U75" s="15"/>
    </row>
    <row r="76" spans="1:21" x14ac:dyDescent="0.35">
      <c r="A76" s="16">
        <v>23</v>
      </c>
      <c r="B76" s="16" t="s">
        <v>126</v>
      </c>
      <c r="C76" s="16">
        <v>19.87</v>
      </c>
      <c r="D76" s="18">
        <v>2.0999999999999999E-3</v>
      </c>
      <c r="E76" s="17">
        <v>2965.09</v>
      </c>
      <c r="F76" s="18">
        <v>2E-3</v>
      </c>
      <c r="U76" s="15"/>
    </row>
    <row r="77" spans="1:21" x14ac:dyDescent="0.35">
      <c r="A77" s="19">
        <v>24</v>
      </c>
      <c r="B77" s="19" t="s">
        <v>127</v>
      </c>
      <c r="C77" s="19">
        <v>18.420000000000002</v>
      </c>
      <c r="D77" s="20">
        <v>2E-3</v>
      </c>
      <c r="E77" s="21">
        <v>2496.89</v>
      </c>
      <c r="F77" s="20">
        <v>1.6999999999999999E-3</v>
      </c>
      <c r="U77" s="15"/>
    </row>
    <row r="78" spans="1:21" x14ac:dyDescent="0.35">
      <c r="A78" s="16">
        <v>25</v>
      </c>
      <c r="B78" s="16" t="s">
        <v>128</v>
      </c>
      <c r="C78" s="16">
        <v>10.06</v>
      </c>
      <c r="D78" s="18">
        <v>1.1000000000000001E-3</v>
      </c>
      <c r="E78" s="17">
        <v>1508.72</v>
      </c>
      <c r="F78" s="18">
        <v>1E-3</v>
      </c>
      <c r="U78" s="15"/>
    </row>
    <row r="79" spans="1:21" ht="20" x14ac:dyDescent="0.35">
      <c r="A79" s="19">
        <v>26</v>
      </c>
      <c r="B79" s="19" t="s">
        <v>130</v>
      </c>
      <c r="C79" s="19">
        <v>7.22</v>
      </c>
      <c r="D79" s="20">
        <v>8.0000000000000004E-4</v>
      </c>
      <c r="E79" s="21">
        <v>1332.48</v>
      </c>
      <c r="F79" s="20">
        <v>8.9999999999999998E-4</v>
      </c>
      <c r="U79" s="15"/>
    </row>
    <row r="80" spans="1:21" x14ac:dyDescent="0.35">
      <c r="A80" s="16">
        <v>27</v>
      </c>
      <c r="B80" s="16" t="s">
        <v>132</v>
      </c>
      <c r="C80" s="16">
        <v>5.95</v>
      </c>
      <c r="D80" s="18">
        <v>5.9999999999999995E-4</v>
      </c>
      <c r="E80" s="17">
        <v>1016.47</v>
      </c>
      <c r="F80" s="18">
        <v>6.9999999999999999E-4</v>
      </c>
      <c r="U80" s="15"/>
    </row>
    <row r="81" spans="1:21" ht="20" x14ac:dyDescent="0.35">
      <c r="A81" s="19">
        <v>28</v>
      </c>
      <c r="B81" s="19" t="s">
        <v>131</v>
      </c>
      <c r="C81" s="19">
        <v>5.69</v>
      </c>
      <c r="D81" s="20">
        <v>5.9999999999999995E-4</v>
      </c>
      <c r="E81" s="19">
        <v>664.54</v>
      </c>
      <c r="F81" s="20">
        <v>4.0000000000000002E-4</v>
      </c>
      <c r="U81" s="15"/>
    </row>
    <row r="82" spans="1:21" x14ac:dyDescent="0.35">
      <c r="A82" s="16">
        <v>29</v>
      </c>
      <c r="B82" s="16" t="s">
        <v>133</v>
      </c>
      <c r="C82" s="16">
        <v>4.4000000000000004</v>
      </c>
      <c r="D82" s="18">
        <v>5.0000000000000001E-4</v>
      </c>
      <c r="E82" s="16">
        <v>839.74</v>
      </c>
      <c r="F82" s="18">
        <v>5.9999999999999995E-4</v>
      </c>
      <c r="U82" s="15"/>
    </row>
    <row r="83" spans="1:21" x14ac:dyDescent="0.35">
      <c r="A83" s="19">
        <v>30</v>
      </c>
      <c r="B83" s="19" t="s">
        <v>134</v>
      </c>
      <c r="C83" s="19">
        <v>4.07</v>
      </c>
      <c r="D83" s="20">
        <v>4.0000000000000002E-4</v>
      </c>
      <c r="E83" s="21">
        <v>1045.51</v>
      </c>
      <c r="F83" s="20">
        <v>6.9999999999999999E-4</v>
      </c>
      <c r="U83" s="15"/>
    </row>
    <row r="84" spans="1:21" x14ac:dyDescent="0.35">
      <c r="A84" s="16">
        <v>31</v>
      </c>
      <c r="B84" s="16" t="s">
        <v>135</v>
      </c>
      <c r="C84" s="16">
        <v>3.79</v>
      </c>
      <c r="D84" s="18">
        <v>4.0000000000000002E-4</v>
      </c>
      <c r="E84" s="16">
        <v>719.96</v>
      </c>
      <c r="F84" s="18">
        <v>5.0000000000000001E-4</v>
      </c>
      <c r="U84" s="15"/>
    </row>
    <row r="85" spans="1:21" x14ac:dyDescent="0.35">
      <c r="A85" s="19">
        <v>32</v>
      </c>
      <c r="B85" s="19" t="s">
        <v>136</v>
      </c>
      <c r="C85" s="19">
        <v>3.75</v>
      </c>
      <c r="D85" s="20">
        <v>4.0000000000000002E-4</v>
      </c>
      <c r="E85" s="19">
        <v>910.78</v>
      </c>
      <c r="F85" s="20">
        <v>5.9999999999999995E-4</v>
      </c>
      <c r="U85" s="15"/>
    </row>
    <row r="86" spans="1:21" x14ac:dyDescent="0.35">
      <c r="A86" s="16">
        <v>33</v>
      </c>
      <c r="B86" s="16" t="s">
        <v>129</v>
      </c>
      <c r="C86" s="16">
        <v>2.7</v>
      </c>
      <c r="D86" s="18">
        <v>2.9999999999999997E-4</v>
      </c>
      <c r="E86" s="16">
        <v>669.27</v>
      </c>
      <c r="F86" s="18">
        <v>4.0000000000000002E-4</v>
      </c>
      <c r="U86" s="15"/>
    </row>
    <row r="87" spans="1:21" x14ac:dyDescent="0.35">
      <c r="A87" s="19">
        <v>34</v>
      </c>
      <c r="B87" s="19" t="s">
        <v>138</v>
      </c>
      <c r="C87" s="19">
        <v>1.72</v>
      </c>
      <c r="D87" s="20">
        <v>2.0000000000000001E-4</v>
      </c>
      <c r="E87" s="19">
        <v>412.84</v>
      </c>
      <c r="F87" s="20">
        <v>2.9999999999999997E-4</v>
      </c>
      <c r="U87" s="15"/>
    </row>
    <row r="88" spans="1:21" x14ac:dyDescent="0.35">
      <c r="A88" s="16">
        <v>35</v>
      </c>
      <c r="B88" s="16" t="s">
        <v>137</v>
      </c>
      <c r="C88" s="16">
        <v>1.66</v>
      </c>
      <c r="D88" s="18">
        <v>2.0000000000000001E-4</v>
      </c>
      <c r="E88" s="16">
        <v>336.3</v>
      </c>
      <c r="F88" s="18">
        <v>2.0000000000000001E-4</v>
      </c>
      <c r="U88" s="15"/>
    </row>
    <row r="89" spans="1:21" x14ac:dyDescent="0.35">
      <c r="A89" s="19">
        <v>36</v>
      </c>
      <c r="B89" s="19" t="s">
        <v>139</v>
      </c>
      <c r="C89" s="19">
        <v>0.08</v>
      </c>
      <c r="D89" s="20">
        <v>0</v>
      </c>
      <c r="E89" s="19">
        <v>21.79</v>
      </c>
      <c r="F89" s="20">
        <v>0</v>
      </c>
      <c r="U89" s="15"/>
    </row>
    <row r="90" spans="1:21" x14ac:dyDescent="0.35">
      <c r="A90" s="16">
        <v>37</v>
      </c>
      <c r="B90" s="16" t="s">
        <v>140</v>
      </c>
      <c r="C90" s="17">
        <v>1379.48</v>
      </c>
      <c r="D90" s="18">
        <v>0.14649999999999999</v>
      </c>
      <c r="E90" s="16">
        <v>216957.59</v>
      </c>
      <c r="F90" s="18">
        <v>0.1457</v>
      </c>
      <c r="U90" s="15"/>
    </row>
    <row r="91" spans="1:21" x14ac:dyDescent="0.35">
      <c r="H91" s="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</row>
    <row r="95" spans="1:21" ht="15" thickBot="1" x14ac:dyDescent="0.4">
      <c r="B95" s="23">
        <v>45078</v>
      </c>
    </row>
    <row r="96" spans="1:21" x14ac:dyDescent="0.35">
      <c r="A96" s="31" t="s">
        <v>98</v>
      </c>
      <c r="B96" s="31" t="s">
        <v>99</v>
      </c>
      <c r="C96" s="31" t="s">
        <v>100</v>
      </c>
      <c r="D96" s="31" t="s">
        <v>101</v>
      </c>
      <c r="E96" s="31" t="s">
        <v>102</v>
      </c>
      <c r="F96" s="31" t="s">
        <v>103</v>
      </c>
    </row>
    <row r="97" spans="1:6" ht="15" thickBot="1" x14ac:dyDescent="0.4">
      <c r="A97" s="32"/>
      <c r="B97" s="32"/>
      <c r="C97" s="32"/>
      <c r="D97" s="32"/>
      <c r="E97" s="32"/>
      <c r="F97" s="32"/>
    </row>
    <row r="98" spans="1:6" x14ac:dyDescent="0.35">
      <c r="A98" s="16">
        <v>1</v>
      </c>
      <c r="B98" s="16" t="s">
        <v>104</v>
      </c>
      <c r="C98" s="17">
        <v>1958.64</v>
      </c>
      <c r="D98" s="18">
        <v>0.20979999999999999</v>
      </c>
      <c r="E98" s="16">
        <v>274244.34000000003</v>
      </c>
      <c r="F98" s="18">
        <v>0.18590000000000001</v>
      </c>
    </row>
    <row r="99" spans="1:6" x14ac:dyDescent="0.35">
      <c r="A99" s="19">
        <v>2</v>
      </c>
      <c r="B99" s="19" t="s">
        <v>105</v>
      </c>
      <c r="C99" s="19">
        <v>812.5</v>
      </c>
      <c r="D99" s="20">
        <v>8.6999999999999994E-2</v>
      </c>
      <c r="E99" s="19">
        <v>116958.14</v>
      </c>
      <c r="F99" s="20">
        <v>7.9299999999999995E-2</v>
      </c>
    </row>
    <row r="100" spans="1:6" x14ac:dyDescent="0.35">
      <c r="A100" s="16">
        <v>3</v>
      </c>
      <c r="B100" s="16" t="s">
        <v>106</v>
      </c>
      <c r="C100" s="16">
        <v>710.27</v>
      </c>
      <c r="D100" s="18">
        <v>7.6100000000000001E-2</v>
      </c>
      <c r="E100" s="16">
        <v>129049.85</v>
      </c>
      <c r="F100" s="18">
        <v>8.7499999999999994E-2</v>
      </c>
    </row>
    <row r="101" spans="1:6" x14ac:dyDescent="0.35">
      <c r="A101" s="19">
        <v>4</v>
      </c>
      <c r="B101" s="19" t="s">
        <v>107</v>
      </c>
      <c r="C101" s="19">
        <v>596.11</v>
      </c>
      <c r="D101" s="20">
        <v>6.3899999999999998E-2</v>
      </c>
      <c r="E101" s="21">
        <v>90290.44</v>
      </c>
      <c r="F101" s="20">
        <v>6.1199999999999997E-2</v>
      </c>
    </row>
    <row r="102" spans="1:6" x14ac:dyDescent="0.35">
      <c r="A102" s="16">
        <v>5</v>
      </c>
      <c r="B102" s="16" t="s">
        <v>108</v>
      </c>
      <c r="C102" s="16">
        <v>458.92</v>
      </c>
      <c r="D102" s="18">
        <v>4.9200000000000001E-2</v>
      </c>
      <c r="E102" s="17">
        <v>79245.179999999993</v>
      </c>
      <c r="F102" s="18">
        <v>5.3699999999999998E-2</v>
      </c>
    </row>
    <row r="103" spans="1:6" x14ac:dyDescent="0.35">
      <c r="A103" s="19">
        <v>6</v>
      </c>
      <c r="B103" s="19" t="s">
        <v>110</v>
      </c>
      <c r="C103" s="19">
        <v>427.33</v>
      </c>
      <c r="D103" s="20">
        <v>4.58E-2</v>
      </c>
      <c r="E103" s="21">
        <v>63711.040000000001</v>
      </c>
      <c r="F103" s="20">
        <v>4.3200000000000002E-2</v>
      </c>
    </row>
    <row r="104" spans="1:6" x14ac:dyDescent="0.35">
      <c r="A104" s="16">
        <v>7</v>
      </c>
      <c r="B104" s="16" t="s">
        <v>111</v>
      </c>
      <c r="C104" s="16">
        <v>386.86</v>
      </c>
      <c r="D104" s="18">
        <v>4.1399999999999999E-2</v>
      </c>
      <c r="E104" s="17">
        <v>54882.65</v>
      </c>
      <c r="F104" s="18">
        <v>3.7199999999999997E-2</v>
      </c>
    </row>
    <row r="105" spans="1:6" x14ac:dyDescent="0.35">
      <c r="A105" s="19">
        <v>8</v>
      </c>
      <c r="B105" s="19" t="s">
        <v>109</v>
      </c>
      <c r="C105" s="19">
        <v>337.69</v>
      </c>
      <c r="D105" s="20">
        <v>3.6200000000000003E-2</v>
      </c>
      <c r="E105" s="21">
        <v>55593.65</v>
      </c>
      <c r="F105" s="20">
        <v>3.7699999999999997E-2</v>
      </c>
    </row>
    <row r="106" spans="1:6" x14ac:dyDescent="0.35">
      <c r="A106" s="16">
        <v>9</v>
      </c>
      <c r="B106" s="16" t="s">
        <v>113</v>
      </c>
      <c r="C106" s="16">
        <v>295.26</v>
      </c>
      <c r="D106" s="18">
        <v>3.1600000000000003E-2</v>
      </c>
      <c r="E106" s="17">
        <v>62976.99</v>
      </c>
      <c r="F106" s="18">
        <v>4.2700000000000002E-2</v>
      </c>
    </row>
    <row r="107" spans="1:6" x14ac:dyDescent="0.35">
      <c r="A107" s="19">
        <v>10</v>
      </c>
      <c r="B107" s="19" t="s">
        <v>112</v>
      </c>
      <c r="C107" s="19">
        <v>277.76</v>
      </c>
      <c r="D107" s="20">
        <v>2.98E-2</v>
      </c>
      <c r="E107" s="21">
        <v>46487.59</v>
      </c>
      <c r="F107" s="20">
        <v>3.15E-2</v>
      </c>
    </row>
    <row r="108" spans="1:6" x14ac:dyDescent="0.35">
      <c r="A108" s="16">
        <v>11</v>
      </c>
      <c r="B108" s="16" t="s">
        <v>115</v>
      </c>
      <c r="C108" s="16">
        <v>273.83</v>
      </c>
      <c r="D108" s="18">
        <v>2.93E-2</v>
      </c>
      <c r="E108" s="17">
        <v>49603.55</v>
      </c>
      <c r="F108" s="18">
        <v>3.3599999999999998E-2</v>
      </c>
    </row>
    <row r="109" spans="1:6" x14ac:dyDescent="0.35">
      <c r="A109" s="19">
        <v>12</v>
      </c>
      <c r="B109" s="19" t="s">
        <v>114</v>
      </c>
      <c r="C109" s="19">
        <v>262.95999999999998</v>
      </c>
      <c r="D109" s="20">
        <v>2.8199999999999999E-2</v>
      </c>
      <c r="E109" s="21">
        <v>48095.78</v>
      </c>
      <c r="F109" s="20">
        <v>3.2599999999999997E-2</v>
      </c>
    </row>
    <row r="110" spans="1:6" x14ac:dyDescent="0.35">
      <c r="A110" s="16">
        <v>13</v>
      </c>
      <c r="B110" s="16" t="s">
        <v>116</v>
      </c>
      <c r="C110" s="16">
        <v>226.29</v>
      </c>
      <c r="D110" s="18">
        <v>2.4199999999999999E-2</v>
      </c>
      <c r="E110" s="17">
        <v>35090.230000000003</v>
      </c>
      <c r="F110" s="18">
        <v>2.3800000000000002E-2</v>
      </c>
    </row>
    <row r="111" spans="1:6" x14ac:dyDescent="0.35">
      <c r="A111" s="19">
        <v>14</v>
      </c>
      <c r="B111" s="19" t="s">
        <v>117</v>
      </c>
      <c r="C111" s="19">
        <v>215.06</v>
      </c>
      <c r="D111" s="20">
        <v>2.3E-2</v>
      </c>
      <c r="E111" s="21">
        <v>32879.15</v>
      </c>
      <c r="F111" s="20">
        <v>2.23E-2</v>
      </c>
    </row>
    <row r="112" spans="1:6" x14ac:dyDescent="0.35">
      <c r="A112" s="16">
        <v>15</v>
      </c>
      <c r="B112" s="16" t="s">
        <v>118</v>
      </c>
      <c r="C112" s="16">
        <v>197.7</v>
      </c>
      <c r="D112" s="18">
        <v>2.12E-2</v>
      </c>
      <c r="E112" s="17">
        <v>30051.56</v>
      </c>
      <c r="F112" s="18">
        <v>2.0400000000000001E-2</v>
      </c>
    </row>
    <row r="113" spans="1:6" x14ac:dyDescent="0.35">
      <c r="A113" s="19">
        <v>16</v>
      </c>
      <c r="B113" s="19" t="s">
        <v>119</v>
      </c>
      <c r="C113" s="19">
        <v>124.17</v>
      </c>
      <c r="D113" s="20">
        <v>1.3299999999999999E-2</v>
      </c>
      <c r="E113" s="21">
        <v>22242.080000000002</v>
      </c>
      <c r="F113" s="20">
        <v>1.5100000000000001E-2</v>
      </c>
    </row>
    <row r="114" spans="1:6" x14ac:dyDescent="0.35">
      <c r="A114" s="16">
        <v>17</v>
      </c>
      <c r="B114" s="16" t="s">
        <v>121</v>
      </c>
      <c r="C114" s="16">
        <v>89.22</v>
      </c>
      <c r="D114" s="18">
        <v>9.5999999999999992E-3</v>
      </c>
      <c r="E114" s="17">
        <v>14075.95</v>
      </c>
      <c r="F114" s="18">
        <v>9.4999999999999998E-3</v>
      </c>
    </row>
    <row r="115" spans="1:6" x14ac:dyDescent="0.35">
      <c r="A115" s="19">
        <v>18</v>
      </c>
      <c r="B115" s="19" t="s">
        <v>120</v>
      </c>
      <c r="C115" s="19">
        <v>88.77</v>
      </c>
      <c r="D115" s="20">
        <v>9.4999999999999998E-3</v>
      </c>
      <c r="E115" s="21">
        <v>13802.1</v>
      </c>
      <c r="F115" s="20">
        <v>9.4000000000000004E-3</v>
      </c>
    </row>
    <row r="116" spans="1:6" x14ac:dyDescent="0.35">
      <c r="A116" s="16">
        <v>19</v>
      </c>
      <c r="B116" s="16" t="s">
        <v>122</v>
      </c>
      <c r="C116" s="16">
        <v>79.349999999999994</v>
      </c>
      <c r="D116" s="18">
        <v>8.5000000000000006E-3</v>
      </c>
      <c r="E116" s="17">
        <v>11384.06</v>
      </c>
      <c r="F116" s="18">
        <v>7.7000000000000002E-3</v>
      </c>
    </row>
    <row r="117" spans="1:6" x14ac:dyDescent="0.35">
      <c r="A117" s="19">
        <v>20</v>
      </c>
      <c r="B117" s="19" t="s">
        <v>123</v>
      </c>
      <c r="C117" s="19">
        <v>73.13</v>
      </c>
      <c r="D117" s="20">
        <v>7.7999999999999996E-3</v>
      </c>
      <c r="E117" s="21">
        <v>10536.22</v>
      </c>
      <c r="F117" s="20">
        <v>7.1000000000000004E-3</v>
      </c>
    </row>
    <row r="118" spans="1:6" x14ac:dyDescent="0.35">
      <c r="A118" s="16">
        <v>21</v>
      </c>
      <c r="B118" s="16" t="s">
        <v>124</v>
      </c>
      <c r="C118" s="16">
        <v>37.47</v>
      </c>
      <c r="D118" s="18">
        <v>4.0000000000000001E-3</v>
      </c>
      <c r="E118" s="17">
        <v>5510.42</v>
      </c>
      <c r="F118" s="18">
        <v>3.7000000000000002E-3</v>
      </c>
    </row>
    <row r="119" spans="1:6" x14ac:dyDescent="0.35">
      <c r="A119" s="19">
        <v>22</v>
      </c>
      <c r="B119" s="19" t="s">
        <v>125</v>
      </c>
      <c r="C119" s="19">
        <v>30.84</v>
      </c>
      <c r="D119" s="20">
        <v>3.3E-3</v>
      </c>
      <c r="E119" s="21">
        <v>5058.3500000000004</v>
      </c>
      <c r="F119" s="20">
        <v>3.3999999999999998E-3</v>
      </c>
    </row>
    <row r="120" spans="1:6" x14ac:dyDescent="0.35">
      <c r="A120" s="16">
        <v>23</v>
      </c>
      <c r="B120" s="16" t="s">
        <v>126</v>
      </c>
      <c r="C120" s="16">
        <v>18.53</v>
      </c>
      <c r="D120" s="18">
        <v>2E-3</v>
      </c>
      <c r="E120" s="17">
        <v>2779.41</v>
      </c>
      <c r="F120" s="18">
        <v>1.9E-3</v>
      </c>
    </row>
    <row r="121" spans="1:6" x14ac:dyDescent="0.35">
      <c r="A121" s="19">
        <v>24</v>
      </c>
      <c r="B121" s="19" t="s">
        <v>127</v>
      </c>
      <c r="C121" s="19">
        <v>17.600000000000001</v>
      </c>
      <c r="D121" s="20">
        <v>1.9E-3</v>
      </c>
      <c r="E121" s="21">
        <v>2430.14</v>
      </c>
      <c r="F121" s="20">
        <v>1.6000000000000001E-3</v>
      </c>
    </row>
    <row r="122" spans="1:6" x14ac:dyDescent="0.35">
      <c r="A122" s="16">
        <v>25</v>
      </c>
      <c r="B122" s="16" t="s">
        <v>128</v>
      </c>
      <c r="C122" s="16">
        <v>10.24</v>
      </c>
      <c r="D122" s="18">
        <v>1.1000000000000001E-3</v>
      </c>
      <c r="E122" s="17">
        <v>1551.66</v>
      </c>
      <c r="F122" s="18">
        <v>1.1000000000000001E-3</v>
      </c>
    </row>
    <row r="123" spans="1:6" ht="20" x14ac:dyDescent="0.35">
      <c r="A123" s="19">
        <v>26</v>
      </c>
      <c r="B123" s="19" t="s">
        <v>130</v>
      </c>
      <c r="C123" s="19">
        <v>7.69</v>
      </c>
      <c r="D123" s="20">
        <v>8.0000000000000004E-4</v>
      </c>
      <c r="E123" s="21">
        <v>1376.41</v>
      </c>
      <c r="F123" s="20">
        <v>8.9999999999999998E-4</v>
      </c>
    </row>
    <row r="124" spans="1:6" x14ac:dyDescent="0.35">
      <c r="A124" s="16">
        <v>27</v>
      </c>
      <c r="B124" s="16" t="s">
        <v>132</v>
      </c>
      <c r="C124" s="16">
        <v>5.62</v>
      </c>
      <c r="D124" s="18">
        <v>5.9999999999999995E-4</v>
      </c>
      <c r="E124" s="16">
        <v>980.89</v>
      </c>
      <c r="F124" s="18">
        <v>6.9999999999999999E-4</v>
      </c>
    </row>
    <row r="125" spans="1:6" ht="20" x14ac:dyDescent="0.35">
      <c r="A125" s="19">
        <v>28</v>
      </c>
      <c r="B125" s="19" t="s">
        <v>131</v>
      </c>
      <c r="C125" s="19">
        <v>5.35</v>
      </c>
      <c r="D125" s="20">
        <v>5.9999999999999995E-4</v>
      </c>
      <c r="E125" s="19">
        <v>651.41</v>
      </c>
      <c r="F125" s="20">
        <v>4.0000000000000002E-4</v>
      </c>
    </row>
    <row r="126" spans="1:6" x14ac:dyDescent="0.35">
      <c r="A126" s="16">
        <v>29</v>
      </c>
      <c r="B126" s="16" t="s">
        <v>134</v>
      </c>
      <c r="C126" s="16">
        <v>5.03</v>
      </c>
      <c r="D126" s="18">
        <v>5.0000000000000001E-4</v>
      </c>
      <c r="E126" s="17">
        <v>1176.33</v>
      </c>
      <c r="F126" s="18">
        <v>8.0000000000000004E-4</v>
      </c>
    </row>
    <row r="127" spans="1:6" x14ac:dyDescent="0.35">
      <c r="A127" s="19">
        <v>30</v>
      </c>
      <c r="B127" s="19" t="s">
        <v>133</v>
      </c>
      <c r="C127" s="19">
        <v>4.22</v>
      </c>
      <c r="D127" s="20">
        <v>5.0000000000000001E-4</v>
      </c>
      <c r="E127" s="19">
        <v>811.42</v>
      </c>
      <c r="F127" s="20">
        <v>5.0000000000000001E-4</v>
      </c>
    </row>
    <row r="128" spans="1:6" x14ac:dyDescent="0.35">
      <c r="A128" s="16">
        <v>31</v>
      </c>
      <c r="B128" s="16" t="s">
        <v>135</v>
      </c>
      <c r="C128" s="16">
        <v>3.91</v>
      </c>
      <c r="D128" s="18">
        <v>4.0000000000000002E-4</v>
      </c>
      <c r="E128" s="16">
        <v>718.62</v>
      </c>
      <c r="F128" s="18">
        <v>5.0000000000000001E-4</v>
      </c>
    </row>
    <row r="129" spans="1:6" x14ac:dyDescent="0.35">
      <c r="A129" s="19">
        <v>32</v>
      </c>
      <c r="B129" s="19" t="s">
        <v>136</v>
      </c>
      <c r="C129" s="19">
        <v>3.74</v>
      </c>
      <c r="D129" s="20">
        <v>4.0000000000000002E-4</v>
      </c>
      <c r="E129" s="19">
        <v>905.89</v>
      </c>
      <c r="F129" s="20">
        <v>5.9999999999999995E-4</v>
      </c>
    </row>
    <row r="130" spans="1:6" x14ac:dyDescent="0.35">
      <c r="A130" s="16">
        <v>33</v>
      </c>
      <c r="B130" s="16" t="s">
        <v>129</v>
      </c>
      <c r="C130" s="16">
        <v>1.9</v>
      </c>
      <c r="D130" s="18">
        <v>2.0000000000000001E-4</v>
      </c>
      <c r="E130" s="16">
        <v>497.29</v>
      </c>
      <c r="F130" s="18">
        <v>2.9999999999999997E-4</v>
      </c>
    </row>
    <row r="131" spans="1:6" x14ac:dyDescent="0.35">
      <c r="A131" s="19">
        <v>34</v>
      </c>
      <c r="B131" s="19" t="s">
        <v>138</v>
      </c>
      <c r="C131" s="19">
        <v>1.81</v>
      </c>
      <c r="D131" s="20">
        <v>2.0000000000000001E-4</v>
      </c>
      <c r="E131" s="19">
        <v>454.94</v>
      </c>
      <c r="F131" s="20">
        <v>2.9999999999999997E-4</v>
      </c>
    </row>
    <row r="132" spans="1:6" x14ac:dyDescent="0.35">
      <c r="A132" s="16">
        <v>35</v>
      </c>
      <c r="B132" s="16" t="s">
        <v>137</v>
      </c>
      <c r="C132" s="16">
        <v>1.56</v>
      </c>
      <c r="D132" s="18">
        <v>2.0000000000000001E-4</v>
      </c>
      <c r="E132" s="16">
        <v>305.91000000000003</v>
      </c>
      <c r="F132" s="18">
        <v>2.0000000000000001E-4</v>
      </c>
    </row>
    <row r="133" spans="1:6" x14ac:dyDescent="0.35">
      <c r="A133" s="19">
        <v>36</v>
      </c>
      <c r="B133" s="19" t="s">
        <v>139</v>
      </c>
      <c r="C133" s="19">
        <v>0.08</v>
      </c>
      <c r="D133" s="20">
        <v>0</v>
      </c>
      <c r="E133" s="19">
        <v>20.5</v>
      </c>
      <c r="F133" s="20">
        <v>0</v>
      </c>
    </row>
    <row r="134" spans="1:6" x14ac:dyDescent="0.35">
      <c r="A134" s="16">
        <v>37</v>
      </c>
      <c r="B134" s="16" t="s">
        <v>140</v>
      </c>
      <c r="C134" s="17">
        <v>1287.6400000000001</v>
      </c>
      <c r="D134" s="18">
        <v>0.13789999999999999</v>
      </c>
      <c r="E134" s="16">
        <v>209034.13</v>
      </c>
      <c r="F134" s="18">
        <v>0.14169999999999999</v>
      </c>
    </row>
    <row r="139" spans="1:6" ht="15" thickBot="1" x14ac:dyDescent="0.4">
      <c r="B139" s="23">
        <v>45108</v>
      </c>
    </row>
    <row r="140" spans="1:6" x14ac:dyDescent="0.35">
      <c r="A140" s="31" t="s">
        <v>98</v>
      </c>
      <c r="B140" s="31" t="s">
        <v>99</v>
      </c>
      <c r="C140" s="31" t="s">
        <v>100</v>
      </c>
      <c r="D140" s="31" t="s">
        <v>101</v>
      </c>
      <c r="E140" s="31" t="s">
        <v>102</v>
      </c>
      <c r="F140" s="31" t="s">
        <v>103</v>
      </c>
    </row>
    <row r="141" spans="1:6" ht="15" thickBot="1" x14ac:dyDescent="0.4">
      <c r="A141" s="32"/>
      <c r="B141" s="32"/>
      <c r="C141" s="32"/>
      <c r="D141" s="32"/>
      <c r="E141" s="32"/>
      <c r="F141" s="32"/>
    </row>
    <row r="142" spans="1:6" x14ac:dyDescent="0.35">
      <c r="A142" s="16">
        <v>1</v>
      </c>
      <c r="B142" s="16" t="s">
        <v>104</v>
      </c>
      <c r="C142" s="17">
        <v>2034.12</v>
      </c>
      <c r="D142" s="18">
        <v>0.2041</v>
      </c>
      <c r="E142" s="16">
        <v>278351.31</v>
      </c>
      <c r="F142" s="18">
        <v>0.18149999999999999</v>
      </c>
    </row>
    <row r="143" spans="1:6" x14ac:dyDescent="0.35">
      <c r="A143" s="19">
        <v>2</v>
      </c>
      <c r="B143" s="19" t="s">
        <v>105</v>
      </c>
      <c r="C143" s="19">
        <v>870.28</v>
      </c>
      <c r="D143" s="20">
        <v>8.7300000000000003E-2</v>
      </c>
      <c r="E143" s="19">
        <v>122630.19</v>
      </c>
      <c r="F143" s="20">
        <v>0.08</v>
      </c>
    </row>
    <row r="144" spans="1:6" x14ac:dyDescent="0.35">
      <c r="A144" s="16">
        <v>3</v>
      </c>
      <c r="B144" s="16" t="s">
        <v>106</v>
      </c>
      <c r="C144" s="16">
        <v>720.58</v>
      </c>
      <c r="D144" s="18">
        <v>7.2300000000000003E-2</v>
      </c>
      <c r="E144" s="16">
        <v>127885.79</v>
      </c>
      <c r="F144" s="18">
        <v>8.3400000000000002E-2</v>
      </c>
    </row>
    <row r="145" spans="1:6" x14ac:dyDescent="0.35">
      <c r="A145" s="19">
        <v>4</v>
      </c>
      <c r="B145" s="19" t="s">
        <v>107</v>
      </c>
      <c r="C145" s="19">
        <v>630.29999999999995</v>
      </c>
      <c r="D145" s="20">
        <v>6.3299999999999995E-2</v>
      </c>
      <c r="E145" s="21">
        <v>90963.74</v>
      </c>
      <c r="F145" s="20">
        <v>5.9299999999999999E-2</v>
      </c>
    </row>
    <row r="146" spans="1:6" x14ac:dyDescent="0.35">
      <c r="A146" s="16">
        <v>5</v>
      </c>
      <c r="B146" s="16" t="s">
        <v>108</v>
      </c>
      <c r="C146" s="16">
        <v>494.19</v>
      </c>
      <c r="D146" s="18">
        <v>4.9599999999999998E-2</v>
      </c>
      <c r="E146" s="17">
        <v>83009.09</v>
      </c>
      <c r="F146" s="18">
        <v>5.4100000000000002E-2</v>
      </c>
    </row>
    <row r="147" spans="1:6" x14ac:dyDescent="0.35">
      <c r="A147" s="19">
        <v>6</v>
      </c>
      <c r="B147" s="19" t="s">
        <v>110</v>
      </c>
      <c r="C147" s="19">
        <v>471.51</v>
      </c>
      <c r="D147" s="20">
        <v>4.7300000000000002E-2</v>
      </c>
      <c r="E147" s="21">
        <v>66620.88</v>
      </c>
      <c r="F147" s="20">
        <v>4.3400000000000001E-2</v>
      </c>
    </row>
    <row r="148" spans="1:6" x14ac:dyDescent="0.35">
      <c r="A148" s="16">
        <v>7</v>
      </c>
      <c r="B148" s="16" t="s">
        <v>109</v>
      </c>
      <c r="C148" s="16">
        <v>405.86</v>
      </c>
      <c r="D148" s="18">
        <v>4.07E-2</v>
      </c>
      <c r="E148" s="17">
        <v>63069.1</v>
      </c>
      <c r="F148" s="18">
        <v>4.1099999999999998E-2</v>
      </c>
    </row>
    <row r="149" spans="1:6" x14ac:dyDescent="0.35">
      <c r="A149" s="19">
        <v>8</v>
      </c>
      <c r="B149" s="19" t="s">
        <v>111</v>
      </c>
      <c r="C149" s="19">
        <v>397.81</v>
      </c>
      <c r="D149" s="20">
        <v>3.9899999999999998E-2</v>
      </c>
      <c r="E149" s="21">
        <v>54276.07</v>
      </c>
      <c r="F149" s="20">
        <v>3.5400000000000001E-2</v>
      </c>
    </row>
    <row r="150" spans="1:6" x14ac:dyDescent="0.35">
      <c r="A150" s="16">
        <v>9</v>
      </c>
      <c r="B150" s="16" t="s">
        <v>113</v>
      </c>
      <c r="C150" s="16">
        <v>323.27</v>
      </c>
      <c r="D150" s="18">
        <v>3.2399999999999998E-2</v>
      </c>
      <c r="E150" s="17">
        <v>67084.86</v>
      </c>
      <c r="F150" s="18">
        <v>4.3700000000000003E-2</v>
      </c>
    </row>
    <row r="151" spans="1:6" x14ac:dyDescent="0.35">
      <c r="A151" s="19">
        <v>10</v>
      </c>
      <c r="B151" s="19" t="s">
        <v>112</v>
      </c>
      <c r="C151" s="19">
        <v>302.19</v>
      </c>
      <c r="D151" s="20">
        <v>3.0300000000000001E-2</v>
      </c>
      <c r="E151" s="21">
        <v>49555.82</v>
      </c>
      <c r="F151" s="20">
        <v>3.2300000000000002E-2</v>
      </c>
    </row>
    <row r="152" spans="1:6" x14ac:dyDescent="0.35">
      <c r="A152" s="16">
        <v>11</v>
      </c>
      <c r="B152" s="16" t="s">
        <v>115</v>
      </c>
      <c r="C152" s="16">
        <v>289.58999999999997</v>
      </c>
      <c r="D152" s="18">
        <v>2.9100000000000001E-2</v>
      </c>
      <c r="E152" s="17">
        <v>50112.15</v>
      </c>
      <c r="F152" s="18">
        <v>3.27E-2</v>
      </c>
    </row>
    <row r="153" spans="1:6" x14ac:dyDescent="0.35">
      <c r="A153" s="19">
        <v>12</v>
      </c>
      <c r="B153" s="19" t="s">
        <v>114</v>
      </c>
      <c r="C153" s="19">
        <v>281.52</v>
      </c>
      <c r="D153" s="20">
        <v>2.8299999999999999E-2</v>
      </c>
      <c r="E153" s="21">
        <v>46720.09</v>
      </c>
      <c r="F153" s="20">
        <v>3.0499999999999999E-2</v>
      </c>
    </row>
    <row r="154" spans="1:6" x14ac:dyDescent="0.35">
      <c r="A154" s="16">
        <v>13</v>
      </c>
      <c r="B154" s="16" t="s">
        <v>116</v>
      </c>
      <c r="C154" s="16">
        <v>246.82</v>
      </c>
      <c r="D154" s="18">
        <v>2.4799999999999999E-2</v>
      </c>
      <c r="E154" s="17">
        <v>37267.08</v>
      </c>
      <c r="F154" s="18">
        <v>2.4299999999999999E-2</v>
      </c>
    </row>
    <row r="155" spans="1:6" x14ac:dyDescent="0.35">
      <c r="A155" s="19">
        <v>14</v>
      </c>
      <c r="B155" s="19" t="s">
        <v>117</v>
      </c>
      <c r="C155" s="19">
        <v>224.03</v>
      </c>
      <c r="D155" s="20">
        <v>2.2499999999999999E-2</v>
      </c>
      <c r="E155" s="21">
        <v>33854.519999999997</v>
      </c>
      <c r="F155" s="20">
        <v>2.2100000000000002E-2</v>
      </c>
    </row>
    <row r="156" spans="1:6" x14ac:dyDescent="0.35">
      <c r="A156" s="16">
        <v>15</v>
      </c>
      <c r="B156" s="16" t="s">
        <v>118</v>
      </c>
      <c r="C156" s="16">
        <v>208.06</v>
      </c>
      <c r="D156" s="18">
        <v>2.0899999999999998E-2</v>
      </c>
      <c r="E156" s="17">
        <v>31154.66</v>
      </c>
      <c r="F156" s="18">
        <v>2.0299999999999999E-2</v>
      </c>
    </row>
    <row r="157" spans="1:6" x14ac:dyDescent="0.35">
      <c r="A157" s="19">
        <v>16</v>
      </c>
      <c r="B157" s="19" t="s">
        <v>119</v>
      </c>
      <c r="C157" s="19">
        <v>132.51</v>
      </c>
      <c r="D157" s="20">
        <v>1.3299999999999999E-2</v>
      </c>
      <c r="E157" s="21">
        <v>23480.6</v>
      </c>
      <c r="F157" s="20">
        <v>1.5299999999999999E-2</v>
      </c>
    </row>
    <row r="158" spans="1:6" x14ac:dyDescent="0.35">
      <c r="A158" s="16">
        <v>17</v>
      </c>
      <c r="B158" s="16" t="s">
        <v>120</v>
      </c>
      <c r="C158" s="16">
        <v>96.74</v>
      </c>
      <c r="D158" s="18">
        <v>9.7000000000000003E-3</v>
      </c>
      <c r="E158" s="17">
        <v>14277.91</v>
      </c>
      <c r="F158" s="18">
        <v>9.2999999999999992E-3</v>
      </c>
    </row>
    <row r="159" spans="1:6" x14ac:dyDescent="0.35">
      <c r="A159" s="19">
        <v>18</v>
      </c>
      <c r="B159" s="19" t="s">
        <v>121</v>
      </c>
      <c r="C159" s="19">
        <v>96.55</v>
      </c>
      <c r="D159" s="20">
        <v>9.7000000000000003E-3</v>
      </c>
      <c r="E159" s="21">
        <v>14637.06</v>
      </c>
      <c r="F159" s="20">
        <v>9.4999999999999998E-3</v>
      </c>
    </row>
    <row r="160" spans="1:6" x14ac:dyDescent="0.35">
      <c r="A160" s="16">
        <v>19</v>
      </c>
      <c r="B160" s="16" t="s">
        <v>123</v>
      </c>
      <c r="C160" s="16">
        <v>84.67</v>
      </c>
      <c r="D160" s="18">
        <v>8.5000000000000006E-3</v>
      </c>
      <c r="E160" s="17">
        <v>11730.08</v>
      </c>
      <c r="F160" s="18">
        <v>7.6E-3</v>
      </c>
    </row>
    <row r="161" spans="1:6" x14ac:dyDescent="0.35">
      <c r="A161" s="19">
        <v>20</v>
      </c>
      <c r="B161" s="19" t="s">
        <v>122</v>
      </c>
      <c r="C161" s="19">
        <v>78.540000000000006</v>
      </c>
      <c r="D161" s="20">
        <v>7.9000000000000008E-3</v>
      </c>
      <c r="E161" s="21">
        <v>10785.35</v>
      </c>
      <c r="F161" s="20">
        <v>7.0000000000000001E-3</v>
      </c>
    </row>
    <row r="162" spans="1:6" x14ac:dyDescent="0.35">
      <c r="A162" s="16">
        <v>21</v>
      </c>
      <c r="B162" s="16" t="s">
        <v>124</v>
      </c>
      <c r="C162" s="16">
        <v>33.86</v>
      </c>
      <c r="D162" s="18">
        <v>3.3999999999999998E-3</v>
      </c>
      <c r="E162" s="17">
        <v>4716.7299999999996</v>
      </c>
      <c r="F162" s="18">
        <v>3.0999999999999999E-3</v>
      </c>
    </row>
    <row r="163" spans="1:6" x14ac:dyDescent="0.35">
      <c r="A163" s="19">
        <v>22</v>
      </c>
      <c r="B163" s="19" t="s">
        <v>125</v>
      </c>
      <c r="C163" s="19">
        <v>32.26</v>
      </c>
      <c r="D163" s="20">
        <v>3.2000000000000002E-3</v>
      </c>
      <c r="E163" s="21">
        <v>5337.27</v>
      </c>
      <c r="F163" s="20">
        <v>3.5000000000000001E-3</v>
      </c>
    </row>
    <row r="164" spans="1:6" x14ac:dyDescent="0.35">
      <c r="A164" s="16">
        <v>23</v>
      </c>
      <c r="B164" s="16" t="s">
        <v>127</v>
      </c>
      <c r="C164" s="16">
        <v>18.75</v>
      </c>
      <c r="D164" s="18">
        <v>1.9E-3</v>
      </c>
      <c r="E164" s="17">
        <v>2592.6799999999998</v>
      </c>
      <c r="F164" s="18">
        <v>1.6999999999999999E-3</v>
      </c>
    </row>
    <row r="165" spans="1:6" x14ac:dyDescent="0.35">
      <c r="A165" s="19">
        <v>24</v>
      </c>
      <c r="B165" s="19" t="s">
        <v>126</v>
      </c>
      <c r="C165" s="19">
        <v>18.420000000000002</v>
      </c>
      <c r="D165" s="20">
        <v>1.8E-3</v>
      </c>
      <c r="E165" s="21">
        <v>2746.69</v>
      </c>
      <c r="F165" s="20">
        <v>1.8E-3</v>
      </c>
    </row>
    <row r="166" spans="1:6" x14ac:dyDescent="0.35">
      <c r="A166" s="16">
        <v>25</v>
      </c>
      <c r="B166" s="16" t="s">
        <v>128</v>
      </c>
      <c r="C166" s="16">
        <v>11.1</v>
      </c>
      <c r="D166" s="18">
        <v>1.1000000000000001E-3</v>
      </c>
      <c r="E166" s="17">
        <v>1653.48</v>
      </c>
      <c r="F166" s="18">
        <v>1.1000000000000001E-3</v>
      </c>
    </row>
    <row r="167" spans="1:6" ht="20" x14ac:dyDescent="0.35">
      <c r="A167" s="19">
        <v>26</v>
      </c>
      <c r="B167" s="19" t="s">
        <v>130</v>
      </c>
      <c r="C167" s="19">
        <v>8.14</v>
      </c>
      <c r="D167" s="20">
        <v>8.0000000000000004E-4</v>
      </c>
      <c r="E167" s="21">
        <v>1373.51</v>
      </c>
      <c r="F167" s="20">
        <v>8.9999999999999998E-4</v>
      </c>
    </row>
    <row r="168" spans="1:6" x14ac:dyDescent="0.35">
      <c r="A168" s="16">
        <v>27</v>
      </c>
      <c r="B168" s="16" t="s">
        <v>132</v>
      </c>
      <c r="C168" s="16">
        <v>6.24</v>
      </c>
      <c r="D168" s="18">
        <v>5.9999999999999995E-4</v>
      </c>
      <c r="E168" s="17">
        <v>1064.8599999999999</v>
      </c>
      <c r="F168" s="18">
        <v>6.9999999999999999E-4</v>
      </c>
    </row>
    <row r="169" spans="1:6" ht="20" x14ac:dyDescent="0.35">
      <c r="A169" s="19">
        <v>28</v>
      </c>
      <c r="B169" s="19" t="s">
        <v>131</v>
      </c>
      <c r="C169" s="19">
        <v>5.63</v>
      </c>
      <c r="D169" s="20">
        <v>5.9999999999999995E-4</v>
      </c>
      <c r="E169" s="19">
        <v>677.01</v>
      </c>
      <c r="F169" s="20">
        <v>4.0000000000000002E-4</v>
      </c>
    </row>
    <row r="170" spans="1:6" x14ac:dyDescent="0.35">
      <c r="A170" s="16">
        <v>29</v>
      </c>
      <c r="B170" s="16" t="s">
        <v>134</v>
      </c>
      <c r="C170" s="16">
        <v>5.14</v>
      </c>
      <c r="D170" s="18">
        <v>5.0000000000000001E-4</v>
      </c>
      <c r="E170" s="17">
        <v>1204.72</v>
      </c>
      <c r="F170" s="18">
        <v>8.0000000000000004E-4</v>
      </c>
    </row>
    <row r="171" spans="1:6" x14ac:dyDescent="0.35">
      <c r="A171" s="19">
        <v>30</v>
      </c>
      <c r="B171" s="19" t="s">
        <v>133</v>
      </c>
      <c r="C171" s="19">
        <v>5.1100000000000003</v>
      </c>
      <c r="D171" s="20">
        <v>5.0000000000000001E-4</v>
      </c>
      <c r="E171" s="19">
        <v>950.01</v>
      </c>
      <c r="F171" s="20">
        <v>5.9999999999999995E-4</v>
      </c>
    </row>
    <row r="172" spans="1:6" x14ac:dyDescent="0.35">
      <c r="A172" s="16">
        <v>31</v>
      </c>
      <c r="B172" s="16" t="s">
        <v>136</v>
      </c>
      <c r="C172" s="16">
        <v>4.03</v>
      </c>
      <c r="D172" s="18">
        <v>4.0000000000000002E-4</v>
      </c>
      <c r="E172" s="16">
        <v>923.43</v>
      </c>
      <c r="F172" s="18">
        <v>5.9999999999999995E-4</v>
      </c>
    </row>
    <row r="173" spans="1:6" x14ac:dyDescent="0.35">
      <c r="A173" s="19">
        <v>32</v>
      </c>
      <c r="B173" s="19" t="s">
        <v>135</v>
      </c>
      <c r="C173" s="19">
        <v>3.81</v>
      </c>
      <c r="D173" s="20">
        <v>4.0000000000000002E-4</v>
      </c>
      <c r="E173" s="19">
        <v>645.73</v>
      </c>
      <c r="F173" s="20">
        <v>4.0000000000000002E-4</v>
      </c>
    </row>
    <row r="174" spans="1:6" x14ac:dyDescent="0.35">
      <c r="A174" s="16">
        <v>33</v>
      </c>
      <c r="B174" s="16" t="s">
        <v>138</v>
      </c>
      <c r="C174" s="16">
        <v>1.94</v>
      </c>
      <c r="D174" s="18">
        <v>2.0000000000000001E-4</v>
      </c>
      <c r="E174" s="16">
        <v>483.88</v>
      </c>
      <c r="F174" s="18">
        <v>2.9999999999999997E-4</v>
      </c>
    </row>
    <row r="175" spans="1:6" x14ac:dyDescent="0.35">
      <c r="A175" s="19">
        <v>34</v>
      </c>
      <c r="B175" s="19" t="s">
        <v>137</v>
      </c>
      <c r="C175" s="19">
        <v>1.69</v>
      </c>
      <c r="D175" s="20">
        <v>2.0000000000000001E-4</v>
      </c>
      <c r="E175" s="19">
        <v>318.73</v>
      </c>
      <c r="F175" s="20">
        <v>2.0000000000000001E-4</v>
      </c>
    </row>
    <row r="176" spans="1:6" x14ac:dyDescent="0.35">
      <c r="A176" s="16">
        <v>35</v>
      </c>
      <c r="B176" s="16" t="s">
        <v>129</v>
      </c>
      <c r="C176" s="16">
        <v>1.59</v>
      </c>
      <c r="D176" s="18">
        <v>2.0000000000000001E-4</v>
      </c>
      <c r="E176" s="16">
        <v>475.02</v>
      </c>
      <c r="F176" s="18">
        <v>2.9999999999999997E-4</v>
      </c>
    </row>
    <row r="177" spans="1:6" x14ac:dyDescent="0.35">
      <c r="A177" s="19">
        <v>36</v>
      </c>
      <c r="B177" s="19" t="s">
        <v>139</v>
      </c>
      <c r="C177" s="19">
        <v>0.09</v>
      </c>
      <c r="D177" s="20">
        <v>0</v>
      </c>
      <c r="E177" s="19">
        <v>21.03</v>
      </c>
      <c r="F177" s="20">
        <v>0</v>
      </c>
    </row>
    <row r="178" spans="1:6" x14ac:dyDescent="0.35">
      <c r="A178" s="16">
        <v>37</v>
      </c>
      <c r="B178" s="16" t="s">
        <v>140</v>
      </c>
      <c r="C178" s="17">
        <v>1417.69</v>
      </c>
      <c r="D178" s="18">
        <v>0.14230000000000001</v>
      </c>
      <c r="E178" s="16">
        <v>230885.29</v>
      </c>
      <c r="F178" s="18">
        <v>0.15060000000000001</v>
      </c>
    </row>
    <row r="181" spans="1:6" ht="15" thickBot="1" x14ac:dyDescent="0.4">
      <c r="B181" s="23">
        <v>45139</v>
      </c>
    </row>
    <row r="182" spans="1:6" x14ac:dyDescent="0.35">
      <c r="A182" s="31" t="s">
        <v>98</v>
      </c>
      <c r="B182" s="31" t="s">
        <v>99</v>
      </c>
      <c r="C182" s="31" t="s">
        <v>100</v>
      </c>
      <c r="D182" s="31" t="s">
        <v>101</v>
      </c>
      <c r="E182" s="31" t="s">
        <v>102</v>
      </c>
      <c r="F182" s="31" t="s">
        <v>103</v>
      </c>
    </row>
    <row r="183" spans="1:6" ht="15" thickBot="1" x14ac:dyDescent="0.4">
      <c r="A183" s="32"/>
      <c r="B183" s="32"/>
      <c r="C183" s="32"/>
      <c r="D183" s="32"/>
      <c r="E183" s="32"/>
      <c r="F183" s="32"/>
    </row>
    <row r="184" spans="1:6" x14ac:dyDescent="0.35">
      <c r="A184" s="16">
        <v>1</v>
      </c>
      <c r="B184" s="16" t="s">
        <v>104</v>
      </c>
      <c r="C184" s="17">
        <v>2119.31</v>
      </c>
      <c r="D184" s="18">
        <v>0.20019999999999999</v>
      </c>
      <c r="E184" s="16">
        <v>282946.53000000003</v>
      </c>
      <c r="F184" s="18">
        <v>0.17949999999999999</v>
      </c>
    </row>
    <row r="185" spans="1:6" x14ac:dyDescent="0.35">
      <c r="A185" s="19">
        <v>2</v>
      </c>
      <c r="B185" s="19" t="s">
        <v>105</v>
      </c>
      <c r="C185" s="19">
        <v>924.36</v>
      </c>
      <c r="D185" s="20">
        <v>8.7300000000000003E-2</v>
      </c>
      <c r="E185" s="19">
        <v>126876.33</v>
      </c>
      <c r="F185" s="20">
        <v>8.0500000000000002E-2</v>
      </c>
    </row>
    <row r="186" spans="1:6" x14ac:dyDescent="0.35">
      <c r="A186" s="16">
        <v>3</v>
      </c>
      <c r="B186" s="16" t="s">
        <v>106</v>
      </c>
      <c r="C186" s="16">
        <v>753.64</v>
      </c>
      <c r="D186" s="18">
        <v>7.1199999999999999E-2</v>
      </c>
      <c r="E186" s="16">
        <v>127817.82</v>
      </c>
      <c r="F186" s="18">
        <v>8.1100000000000005E-2</v>
      </c>
    </row>
    <row r="187" spans="1:6" x14ac:dyDescent="0.35">
      <c r="A187" s="19">
        <v>4</v>
      </c>
      <c r="B187" s="19" t="s">
        <v>107</v>
      </c>
      <c r="C187" s="19">
        <v>678.37</v>
      </c>
      <c r="D187" s="20">
        <v>6.4100000000000004E-2</v>
      </c>
      <c r="E187" s="21">
        <v>94133.08</v>
      </c>
      <c r="F187" s="20">
        <v>5.9700000000000003E-2</v>
      </c>
    </row>
    <row r="188" spans="1:6" x14ac:dyDescent="0.35">
      <c r="A188" s="16">
        <v>5</v>
      </c>
      <c r="B188" s="16" t="s">
        <v>108</v>
      </c>
      <c r="C188" s="16">
        <v>511.03</v>
      </c>
      <c r="D188" s="18">
        <v>4.8300000000000003E-2</v>
      </c>
      <c r="E188" s="17">
        <v>84388.17</v>
      </c>
      <c r="F188" s="18">
        <v>5.3499999999999999E-2</v>
      </c>
    </row>
    <row r="189" spans="1:6" x14ac:dyDescent="0.35">
      <c r="A189" s="19">
        <v>6</v>
      </c>
      <c r="B189" s="19" t="s">
        <v>110</v>
      </c>
      <c r="C189" s="19">
        <v>502.8</v>
      </c>
      <c r="D189" s="20">
        <v>4.7500000000000001E-2</v>
      </c>
      <c r="E189" s="21">
        <v>67895.740000000005</v>
      </c>
      <c r="F189" s="20">
        <v>4.3099999999999999E-2</v>
      </c>
    </row>
    <row r="190" spans="1:6" x14ac:dyDescent="0.35">
      <c r="A190" s="16">
        <v>7</v>
      </c>
      <c r="B190" s="16" t="s">
        <v>109</v>
      </c>
      <c r="C190" s="16">
        <v>459.93</v>
      </c>
      <c r="D190" s="18">
        <v>4.3400000000000001E-2</v>
      </c>
      <c r="E190" s="17">
        <v>69380.56</v>
      </c>
      <c r="F190" s="18">
        <v>4.3999999999999997E-2</v>
      </c>
    </row>
    <row r="191" spans="1:6" x14ac:dyDescent="0.35">
      <c r="A191" s="19">
        <v>8</v>
      </c>
      <c r="B191" s="19" t="s">
        <v>111</v>
      </c>
      <c r="C191" s="19">
        <v>404.03</v>
      </c>
      <c r="D191" s="20">
        <v>3.8199999999999998E-2</v>
      </c>
      <c r="E191" s="21">
        <v>52953.64</v>
      </c>
      <c r="F191" s="20">
        <v>3.3599999999999998E-2</v>
      </c>
    </row>
    <row r="192" spans="1:6" x14ac:dyDescent="0.35">
      <c r="A192" s="16">
        <v>9</v>
      </c>
      <c r="B192" s="16" t="s">
        <v>113</v>
      </c>
      <c r="C192" s="16">
        <v>349.58</v>
      </c>
      <c r="D192" s="18">
        <v>3.3000000000000002E-2</v>
      </c>
      <c r="E192" s="17">
        <v>69909.850000000006</v>
      </c>
      <c r="F192" s="18">
        <v>4.4299999999999999E-2</v>
      </c>
    </row>
    <row r="193" spans="1:6" x14ac:dyDescent="0.35">
      <c r="A193" s="19">
        <v>10</v>
      </c>
      <c r="B193" s="19" t="s">
        <v>112</v>
      </c>
      <c r="C193" s="19">
        <v>325.33999999999997</v>
      </c>
      <c r="D193" s="20">
        <v>3.0700000000000002E-2</v>
      </c>
      <c r="E193" s="21">
        <v>51778.19</v>
      </c>
      <c r="F193" s="20">
        <v>3.2800000000000003E-2</v>
      </c>
    </row>
    <row r="194" spans="1:6" x14ac:dyDescent="0.35">
      <c r="A194" s="16">
        <v>11</v>
      </c>
      <c r="B194" s="16" t="s">
        <v>114</v>
      </c>
      <c r="C194" s="16">
        <v>307.74</v>
      </c>
      <c r="D194" s="18">
        <v>2.9100000000000001E-2</v>
      </c>
      <c r="E194" s="17">
        <v>47814.69</v>
      </c>
      <c r="F194" s="18">
        <v>3.0300000000000001E-2</v>
      </c>
    </row>
    <row r="195" spans="1:6" x14ac:dyDescent="0.35">
      <c r="A195" s="19">
        <v>12</v>
      </c>
      <c r="B195" s="19" t="s">
        <v>115</v>
      </c>
      <c r="C195" s="19">
        <v>286.08999999999997</v>
      </c>
      <c r="D195" s="20">
        <v>2.7E-2</v>
      </c>
      <c r="E195" s="21">
        <v>48819.44</v>
      </c>
      <c r="F195" s="20">
        <v>3.1E-2</v>
      </c>
    </row>
    <row r="196" spans="1:6" x14ac:dyDescent="0.35">
      <c r="A196" s="16">
        <v>13</v>
      </c>
      <c r="B196" s="16" t="s">
        <v>116</v>
      </c>
      <c r="C196" s="16">
        <v>255.9</v>
      </c>
      <c r="D196" s="18">
        <v>2.4199999999999999E-2</v>
      </c>
      <c r="E196" s="17">
        <v>38322.050000000003</v>
      </c>
      <c r="F196" s="18">
        <v>2.4299999999999999E-2</v>
      </c>
    </row>
    <row r="197" spans="1:6" x14ac:dyDescent="0.35">
      <c r="A197" s="19">
        <v>14</v>
      </c>
      <c r="B197" s="19" t="s">
        <v>117</v>
      </c>
      <c r="C197" s="19">
        <v>249.36</v>
      </c>
      <c r="D197" s="20">
        <v>2.3599999999999999E-2</v>
      </c>
      <c r="E197" s="21">
        <v>37438.699999999997</v>
      </c>
      <c r="F197" s="20">
        <v>2.3699999999999999E-2</v>
      </c>
    </row>
    <row r="198" spans="1:6" x14ac:dyDescent="0.35">
      <c r="A198" s="16">
        <v>15</v>
      </c>
      <c r="B198" s="16" t="s">
        <v>118</v>
      </c>
      <c r="C198" s="16">
        <v>220.05</v>
      </c>
      <c r="D198" s="18">
        <v>2.0799999999999999E-2</v>
      </c>
      <c r="E198" s="17">
        <v>30594.38</v>
      </c>
      <c r="F198" s="18">
        <v>1.9400000000000001E-2</v>
      </c>
    </row>
    <row r="199" spans="1:6" x14ac:dyDescent="0.35">
      <c r="A199" s="19">
        <v>16</v>
      </c>
      <c r="B199" s="19" t="s">
        <v>119</v>
      </c>
      <c r="C199" s="19">
        <v>147.13999999999999</v>
      </c>
      <c r="D199" s="20">
        <v>1.3899999999999999E-2</v>
      </c>
      <c r="E199" s="21">
        <v>24812.53</v>
      </c>
      <c r="F199" s="20">
        <v>1.5699999999999999E-2</v>
      </c>
    </row>
    <row r="200" spans="1:6" x14ac:dyDescent="0.35">
      <c r="A200" s="16">
        <v>17</v>
      </c>
      <c r="B200" s="16" t="s">
        <v>121</v>
      </c>
      <c r="C200" s="16">
        <v>105.93</v>
      </c>
      <c r="D200" s="18">
        <v>0.01</v>
      </c>
      <c r="E200" s="17">
        <v>15516.16</v>
      </c>
      <c r="F200" s="18">
        <v>9.7999999999999997E-3</v>
      </c>
    </row>
    <row r="201" spans="1:6" x14ac:dyDescent="0.35">
      <c r="A201" s="19">
        <v>18</v>
      </c>
      <c r="B201" s="19" t="s">
        <v>120</v>
      </c>
      <c r="C201" s="19">
        <v>104.67</v>
      </c>
      <c r="D201" s="20">
        <v>9.9000000000000008E-3</v>
      </c>
      <c r="E201" s="21">
        <v>14547.31</v>
      </c>
      <c r="F201" s="20">
        <v>9.1999999999999998E-3</v>
      </c>
    </row>
    <row r="202" spans="1:6" x14ac:dyDescent="0.35">
      <c r="A202" s="16">
        <v>19</v>
      </c>
      <c r="B202" s="16" t="s">
        <v>123</v>
      </c>
      <c r="C202" s="16">
        <v>97.25</v>
      </c>
      <c r="D202" s="18">
        <v>9.1999999999999998E-3</v>
      </c>
      <c r="E202" s="17">
        <v>12772.92</v>
      </c>
      <c r="F202" s="18">
        <v>8.0999999999999996E-3</v>
      </c>
    </row>
    <row r="203" spans="1:6" x14ac:dyDescent="0.35">
      <c r="A203" s="19">
        <v>20</v>
      </c>
      <c r="B203" s="19" t="s">
        <v>122</v>
      </c>
      <c r="C203" s="19">
        <v>81.709999999999994</v>
      </c>
      <c r="D203" s="20">
        <v>7.7000000000000002E-3</v>
      </c>
      <c r="E203" s="21">
        <v>10706.66</v>
      </c>
      <c r="F203" s="20">
        <v>6.7999999999999996E-3</v>
      </c>
    </row>
    <row r="204" spans="1:6" x14ac:dyDescent="0.35">
      <c r="A204" s="16">
        <v>21</v>
      </c>
      <c r="B204" s="16" t="s">
        <v>124</v>
      </c>
      <c r="C204" s="16">
        <v>35.229999999999997</v>
      </c>
      <c r="D204" s="18">
        <v>3.3E-3</v>
      </c>
      <c r="E204" s="17">
        <v>4698.18</v>
      </c>
      <c r="F204" s="18">
        <v>3.0000000000000001E-3</v>
      </c>
    </row>
    <row r="205" spans="1:6" x14ac:dyDescent="0.35">
      <c r="A205" s="19">
        <v>22</v>
      </c>
      <c r="B205" s="19" t="s">
        <v>125</v>
      </c>
      <c r="C205" s="19">
        <v>34.799999999999997</v>
      </c>
      <c r="D205" s="20">
        <v>3.3E-3</v>
      </c>
      <c r="E205" s="21">
        <v>5283.63</v>
      </c>
      <c r="F205" s="20">
        <v>3.3999999999999998E-3</v>
      </c>
    </row>
    <row r="206" spans="1:6" x14ac:dyDescent="0.35">
      <c r="A206" s="16">
        <v>23</v>
      </c>
      <c r="B206" s="16" t="s">
        <v>127</v>
      </c>
      <c r="C206" s="16">
        <v>21.26</v>
      </c>
      <c r="D206" s="18">
        <v>2E-3</v>
      </c>
      <c r="E206" s="17">
        <v>2829.23</v>
      </c>
      <c r="F206" s="18">
        <v>1.8E-3</v>
      </c>
    </row>
    <row r="207" spans="1:6" x14ac:dyDescent="0.35">
      <c r="A207" s="19">
        <v>24</v>
      </c>
      <c r="B207" s="19" t="s">
        <v>126</v>
      </c>
      <c r="C207" s="19">
        <v>20.95</v>
      </c>
      <c r="D207" s="20">
        <v>2E-3</v>
      </c>
      <c r="E207" s="21">
        <v>2970.56</v>
      </c>
      <c r="F207" s="20">
        <v>1.9E-3</v>
      </c>
    </row>
    <row r="208" spans="1:6" x14ac:dyDescent="0.35">
      <c r="A208" s="16">
        <v>25</v>
      </c>
      <c r="B208" s="16" t="s">
        <v>128</v>
      </c>
      <c r="C208" s="16">
        <v>11.56</v>
      </c>
      <c r="D208" s="18">
        <v>1.1000000000000001E-3</v>
      </c>
      <c r="E208" s="17">
        <v>1708.52</v>
      </c>
      <c r="F208" s="18">
        <v>1.1000000000000001E-3</v>
      </c>
    </row>
    <row r="209" spans="1:6" ht="20" x14ac:dyDescent="0.35">
      <c r="A209" s="19">
        <v>26</v>
      </c>
      <c r="B209" s="19" t="s">
        <v>130</v>
      </c>
      <c r="C209" s="19">
        <v>8.7799999999999994</v>
      </c>
      <c r="D209" s="20">
        <v>8.0000000000000004E-4</v>
      </c>
      <c r="E209" s="21">
        <v>1434.45</v>
      </c>
      <c r="F209" s="20">
        <v>8.9999999999999998E-4</v>
      </c>
    </row>
    <row r="210" spans="1:6" x14ac:dyDescent="0.35">
      <c r="A210" s="16">
        <v>27</v>
      </c>
      <c r="B210" s="16" t="s">
        <v>132</v>
      </c>
      <c r="C210" s="16">
        <v>6.75</v>
      </c>
      <c r="D210" s="18">
        <v>5.9999999999999995E-4</v>
      </c>
      <c r="E210" s="17">
        <v>1123.71</v>
      </c>
      <c r="F210" s="18">
        <v>6.9999999999999999E-4</v>
      </c>
    </row>
    <row r="211" spans="1:6" ht="20" x14ac:dyDescent="0.35">
      <c r="A211" s="19">
        <v>28</v>
      </c>
      <c r="B211" s="19" t="s">
        <v>131</v>
      </c>
      <c r="C211" s="19">
        <v>6.23</v>
      </c>
      <c r="D211" s="20">
        <v>5.9999999999999995E-4</v>
      </c>
      <c r="E211" s="19">
        <v>698.87</v>
      </c>
      <c r="F211" s="20">
        <v>4.0000000000000002E-4</v>
      </c>
    </row>
    <row r="212" spans="1:6" x14ac:dyDescent="0.35">
      <c r="A212" s="16">
        <v>29</v>
      </c>
      <c r="B212" s="16" t="s">
        <v>133</v>
      </c>
      <c r="C212" s="16">
        <v>6.11</v>
      </c>
      <c r="D212" s="18">
        <v>5.9999999999999995E-4</v>
      </c>
      <c r="E212" s="17">
        <v>1098.18</v>
      </c>
      <c r="F212" s="18">
        <v>6.9999999999999999E-4</v>
      </c>
    </row>
    <row r="213" spans="1:6" x14ac:dyDescent="0.35">
      <c r="A213" s="19">
        <v>30</v>
      </c>
      <c r="B213" s="19" t="s">
        <v>134</v>
      </c>
      <c r="C213" s="19">
        <v>5.5</v>
      </c>
      <c r="D213" s="20">
        <v>5.0000000000000001E-4</v>
      </c>
      <c r="E213" s="21">
        <v>1245.07</v>
      </c>
      <c r="F213" s="20">
        <v>8.0000000000000004E-4</v>
      </c>
    </row>
    <row r="214" spans="1:6" x14ac:dyDescent="0.35">
      <c r="A214" s="16">
        <v>31</v>
      </c>
      <c r="B214" s="16" t="s">
        <v>136</v>
      </c>
      <c r="C214" s="16">
        <v>4.2699999999999996</v>
      </c>
      <c r="D214" s="18">
        <v>4.0000000000000002E-4</v>
      </c>
      <c r="E214" s="16">
        <v>939.12</v>
      </c>
      <c r="F214" s="18">
        <v>5.9999999999999995E-4</v>
      </c>
    </row>
    <row r="215" spans="1:6" x14ac:dyDescent="0.35">
      <c r="A215" s="19">
        <v>32</v>
      </c>
      <c r="B215" s="19" t="s">
        <v>135</v>
      </c>
      <c r="C215" s="19">
        <v>3.87</v>
      </c>
      <c r="D215" s="20">
        <v>4.0000000000000002E-4</v>
      </c>
      <c r="E215" s="19">
        <v>644.83000000000004</v>
      </c>
      <c r="F215" s="20">
        <v>4.0000000000000002E-4</v>
      </c>
    </row>
    <row r="216" spans="1:6" x14ac:dyDescent="0.35">
      <c r="A216" s="16">
        <v>33</v>
      </c>
      <c r="B216" s="16" t="s">
        <v>129</v>
      </c>
      <c r="C216" s="16">
        <v>2.29</v>
      </c>
      <c r="D216" s="18">
        <v>2.0000000000000001E-4</v>
      </c>
      <c r="E216" s="16">
        <v>770.73</v>
      </c>
      <c r="F216" s="18">
        <v>5.0000000000000001E-4</v>
      </c>
    </row>
    <row r="217" spans="1:6" x14ac:dyDescent="0.35">
      <c r="A217" s="19">
        <v>34</v>
      </c>
      <c r="B217" s="19" t="s">
        <v>138</v>
      </c>
      <c r="C217" s="19">
        <v>2.0499999999999998</v>
      </c>
      <c r="D217" s="20">
        <v>2.0000000000000001E-4</v>
      </c>
      <c r="E217" s="19">
        <v>480.89</v>
      </c>
      <c r="F217" s="20">
        <v>2.9999999999999997E-4</v>
      </c>
    </row>
    <row r="218" spans="1:6" x14ac:dyDescent="0.35">
      <c r="A218" s="16">
        <v>35</v>
      </c>
      <c r="B218" s="16" t="s">
        <v>137</v>
      </c>
      <c r="C218" s="16">
        <v>1.84</v>
      </c>
      <c r="D218" s="18">
        <v>2.0000000000000001E-4</v>
      </c>
      <c r="E218" s="16">
        <v>338.88</v>
      </c>
      <c r="F218" s="18">
        <v>2.0000000000000001E-4</v>
      </c>
    </row>
    <row r="219" spans="1:6" x14ac:dyDescent="0.35">
      <c r="A219" s="19">
        <v>36</v>
      </c>
      <c r="B219" s="19" t="s">
        <v>139</v>
      </c>
      <c r="C219" s="19">
        <v>0.11</v>
      </c>
      <c r="D219" s="20">
        <v>0</v>
      </c>
      <c r="E219" s="19">
        <v>23.1</v>
      </c>
      <c r="F219" s="20">
        <v>0</v>
      </c>
    </row>
    <row r="220" spans="1:6" x14ac:dyDescent="0.35">
      <c r="A220" s="16">
        <v>37</v>
      </c>
      <c r="B220" s="16" t="s">
        <v>140</v>
      </c>
      <c r="C220" s="17">
        <v>1530.17</v>
      </c>
      <c r="D220" s="18">
        <v>0.14449999999999999</v>
      </c>
      <c r="E220" s="16">
        <v>240823.86</v>
      </c>
      <c r="F220" s="18">
        <v>0.15279999999999999</v>
      </c>
    </row>
    <row r="224" spans="1:6" ht="15" thickBot="1" x14ac:dyDescent="0.4">
      <c r="B224" s="23">
        <v>45170</v>
      </c>
    </row>
    <row r="225" spans="1:6" x14ac:dyDescent="0.35">
      <c r="A225" s="31" t="s">
        <v>98</v>
      </c>
      <c r="B225" s="31" t="s">
        <v>99</v>
      </c>
      <c r="C225" s="31" t="s">
        <v>100</v>
      </c>
      <c r="D225" s="31" t="s">
        <v>101</v>
      </c>
      <c r="E225" s="31" t="s">
        <v>102</v>
      </c>
      <c r="F225" s="31" t="s">
        <v>103</v>
      </c>
    </row>
    <row r="226" spans="1:6" ht="15" thickBot="1" x14ac:dyDescent="0.4">
      <c r="A226" s="32"/>
      <c r="B226" s="32"/>
      <c r="C226" s="32"/>
      <c r="D226" s="32"/>
      <c r="E226" s="32"/>
      <c r="F226" s="32"/>
    </row>
    <row r="227" spans="1:6" x14ac:dyDescent="0.35">
      <c r="A227" s="16">
        <v>1</v>
      </c>
      <c r="B227" s="16" t="s">
        <v>104</v>
      </c>
      <c r="C227" s="17">
        <v>2156.02</v>
      </c>
      <c r="D227" s="18">
        <v>0.20430000000000001</v>
      </c>
      <c r="E227" s="16">
        <v>286792.45</v>
      </c>
      <c r="F227" s="18">
        <v>0.18160000000000001</v>
      </c>
    </row>
    <row r="228" spans="1:6" x14ac:dyDescent="0.35">
      <c r="A228" s="19">
        <v>2</v>
      </c>
      <c r="B228" s="19" t="s">
        <v>105</v>
      </c>
      <c r="C228" s="19">
        <v>896.89</v>
      </c>
      <c r="D228" s="20">
        <v>8.5000000000000006E-2</v>
      </c>
      <c r="E228" s="19">
        <v>125683.26</v>
      </c>
      <c r="F228" s="20">
        <v>7.9600000000000004E-2</v>
      </c>
    </row>
    <row r="229" spans="1:6" x14ac:dyDescent="0.35">
      <c r="A229" s="16">
        <v>3</v>
      </c>
      <c r="B229" s="16" t="s">
        <v>106</v>
      </c>
      <c r="C229" s="16">
        <v>713.29</v>
      </c>
      <c r="D229" s="18">
        <v>6.7599999999999993E-2</v>
      </c>
      <c r="E229" s="16">
        <v>121128.45</v>
      </c>
      <c r="F229" s="18">
        <v>7.6700000000000004E-2</v>
      </c>
    </row>
    <row r="230" spans="1:6" x14ac:dyDescent="0.35">
      <c r="A230" s="19">
        <v>4</v>
      </c>
      <c r="B230" s="19" t="s">
        <v>107</v>
      </c>
      <c r="C230" s="19">
        <v>680.36</v>
      </c>
      <c r="D230" s="20">
        <v>6.4500000000000002E-2</v>
      </c>
      <c r="E230" s="21">
        <v>95195.96</v>
      </c>
      <c r="F230" s="20">
        <v>6.0299999999999999E-2</v>
      </c>
    </row>
    <row r="231" spans="1:6" x14ac:dyDescent="0.35">
      <c r="A231" s="16">
        <v>5</v>
      </c>
      <c r="B231" s="16" t="s">
        <v>108</v>
      </c>
      <c r="C231" s="16">
        <v>521.85</v>
      </c>
      <c r="D231" s="18">
        <v>4.9399999999999999E-2</v>
      </c>
      <c r="E231" s="17">
        <v>85968.46</v>
      </c>
      <c r="F231" s="18">
        <v>5.4399999999999997E-2</v>
      </c>
    </row>
    <row r="232" spans="1:6" x14ac:dyDescent="0.35">
      <c r="A232" s="19">
        <v>6</v>
      </c>
      <c r="B232" s="19" t="s">
        <v>110</v>
      </c>
      <c r="C232" s="19">
        <v>512.80999999999995</v>
      </c>
      <c r="D232" s="20">
        <v>4.8599999999999997E-2</v>
      </c>
      <c r="E232" s="21">
        <v>69250.13</v>
      </c>
      <c r="F232" s="20">
        <v>4.3900000000000002E-2</v>
      </c>
    </row>
    <row r="233" spans="1:6" x14ac:dyDescent="0.35">
      <c r="A233" s="16">
        <v>7</v>
      </c>
      <c r="B233" s="16" t="s">
        <v>109</v>
      </c>
      <c r="C233" s="16">
        <v>431.28</v>
      </c>
      <c r="D233" s="18">
        <v>4.0899999999999999E-2</v>
      </c>
      <c r="E233" s="17">
        <v>66104.53</v>
      </c>
      <c r="F233" s="18">
        <v>4.19E-2</v>
      </c>
    </row>
    <row r="234" spans="1:6" x14ac:dyDescent="0.35">
      <c r="A234" s="19">
        <v>8</v>
      </c>
      <c r="B234" s="19" t="s">
        <v>111</v>
      </c>
      <c r="C234" s="19">
        <v>416.31</v>
      </c>
      <c r="D234" s="20">
        <v>3.9399999999999998E-2</v>
      </c>
      <c r="E234" s="21">
        <v>55139.92</v>
      </c>
      <c r="F234" s="20">
        <v>3.49E-2</v>
      </c>
    </row>
    <row r="235" spans="1:6" x14ac:dyDescent="0.35">
      <c r="A235" s="16">
        <v>9</v>
      </c>
      <c r="B235" s="16" t="s">
        <v>113</v>
      </c>
      <c r="C235" s="16">
        <v>336.99</v>
      </c>
      <c r="D235" s="18">
        <v>3.1899999999999998E-2</v>
      </c>
      <c r="E235" s="17">
        <v>67178.11</v>
      </c>
      <c r="F235" s="18">
        <v>4.2500000000000003E-2</v>
      </c>
    </row>
    <row r="236" spans="1:6" x14ac:dyDescent="0.35">
      <c r="A236" s="19">
        <v>10</v>
      </c>
      <c r="B236" s="19" t="s">
        <v>112</v>
      </c>
      <c r="C236" s="19">
        <v>319.31</v>
      </c>
      <c r="D236" s="20">
        <v>3.0200000000000001E-2</v>
      </c>
      <c r="E236" s="21">
        <v>51590.99</v>
      </c>
      <c r="F236" s="20">
        <v>3.27E-2</v>
      </c>
    </row>
    <row r="237" spans="1:6" x14ac:dyDescent="0.35">
      <c r="A237" s="16">
        <v>11</v>
      </c>
      <c r="B237" s="16" t="s">
        <v>114</v>
      </c>
      <c r="C237" s="16">
        <v>305.39</v>
      </c>
      <c r="D237" s="18">
        <v>2.8899999999999999E-2</v>
      </c>
      <c r="E237" s="17">
        <v>48595.98</v>
      </c>
      <c r="F237" s="18">
        <v>3.0800000000000001E-2</v>
      </c>
    </row>
    <row r="238" spans="1:6" x14ac:dyDescent="0.35">
      <c r="A238" s="19">
        <v>12</v>
      </c>
      <c r="B238" s="19" t="s">
        <v>115</v>
      </c>
      <c r="C238" s="19">
        <v>280.3</v>
      </c>
      <c r="D238" s="20">
        <v>2.6599999999999999E-2</v>
      </c>
      <c r="E238" s="21">
        <v>48707.55</v>
      </c>
      <c r="F238" s="20">
        <v>3.0800000000000001E-2</v>
      </c>
    </row>
    <row r="239" spans="1:6" x14ac:dyDescent="0.35">
      <c r="A239" s="16">
        <v>13</v>
      </c>
      <c r="B239" s="16" t="s">
        <v>116</v>
      </c>
      <c r="C239" s="16">
        <v>265.58999999999997</v>
      </c>
      <c r="D239" s="18">
        <v>2.52E-2</v>
      </c>
      <c r="E239" s="17">
        <v>39655.160000000003</v>
      </c>
      <c r="F239" s="18">
        <v>2.5100000000000001E-2</v>
      </c>
    </row>
    <row r="240" spans="1:6" x14ac:dyDescent="0.35">
      <c r="A240" s="19">
        <v>14</v>
      </c>
      <c r="B240" s="19" t="s">
        <v>117</v>
      </c>
      <c r="C240" s="19">
        <v>237.42</v>
      </c>
      <c r="D240" s="20">
        <v>2.2499999999999999E-2</v>
      </c>
      <c r="E240" s="21">
        <v>35412.25</v>
      </c>
      <c r="F240" s="20">
        <v>2.24E-2</v>
      </c>
    </row>
    <row r="241" spans="1:6" x14ac:dyDescent="0.35">
      <c r="A241" s="16">
        <v>15</v>
      </c>
      <c r="B241" s="16" t="s">
        <v>118</v>
      </c>
      <c r="C241" s="16">
        <v>224.43</v>
      </c>
      <c r="D241" s="18">
        <v>2.1299999999999999E-2</v>
      </c>
      <c r="E241" s="17">
        <v>31146.94</v>
      </c>
      <c r="F241" s="18">
        <v>1.9699999999999999E-2</v>
      </c>
    </row>
    <row r="242" spans="1:6" x14ac:dyDescent="0.35">
      <c r="A242" s="19">
        <v>16</v>
      </c>
      <c r="B242" s="19" t="s">
        <v>119</v>
      </c>
      <c r="C242" s="19">
        <v>146.63999999999999</v>
      </c>
      <c r="D242" s="20">
        <v>1.3899999999999999E-2</v>
      </c>
      <c r="E242" s="21">
        <v>24711.78</v>
      </c>
      <c r="F242" s="20">
        <v>1.5599999999999999E-2</v>
      </c>
    </row>
    <row r="243" spans="1:6" x14ac:dyDescent="0.35">
      <c r="A243" s="16">
        <v>17</v>
      </c>
      <c r="B243" s="16" t="s">
        <v>121</v>
      </c>
      <c r="C243" s="16">
        <v>110.01</v>
      </c>
      <c r="D243" s="18">
        <v>1.04E-2</v>
      </c>
      <c r="E243" s="17">
        <v>15968.78</v>
      </c>
      <c r="F243" s="18">
        <v>1.01E-2</v>
      </c>
    </row>
    <row r="244" spans="1:6" x14ac:dyDescent="0.35">
      <c r="A244" s="19">
        <v>18</v>
      </c>
      <c r="B244" s="19" t="s">
        <v>120</v>
      </c>
      <c r="C244" s="19">
        <v>104.08</v>
      </c>
      <c r="D244" s="20">
        <v>9.9000000000000008E-3</v>
      </c>
      <c r="E244" s="21">
        <v>14937.74</v>
      </c>
      <c r="F244" s="20">
        <v>9.4999999999999998E-3</v>
      </c>
    </row>
    <row r="245" spans="1:6" x14ac:dyDescent="0.35">
      <c r="A245" s="16">
        <v>19</v>
      </c>
      <c r="B245" s="16" t="s">
        <v>123</v>
      </c>
      <c r="C245" s="16">
        <v>97.4</v>
      </c>
      <c r="D245" s="18">
        <v>9.1999999999999998E-3</v>
      </c>
      <c r="E245" s="17">
        <v>12764.1</v>
      </c>
      <c r="F245" s="18">
        <v>8.0999999999999996E-3</v>
      </c>
    </row>
    <row r="246" spans="1:6" x14ac:dyDescent="0.35">
      <c r="A246" s="19">
        <v>20</v>
      </c>
      <c r="B246" s="19" t="s">
        <v>122</v>
      </c>
      <c r="C246" s="19">
        <v>83.19</v>
      </c>
      <c r="D246" s="20">
        <v>7.9000000000000008E-3</v>
      </c>
      <c r="E246" s="21">
        <v>11010.69</v>
      </c>
      <c r="F246" s="20">
        <v>7.0000000000000001E-3</v>
      </c>
    </row>
    <row r="247" spans="1:6" x14ac:dyDescent="0.35">
      <c r="A247" s="16">
        <v>21</v>
      </c>
      <c r="B247" s="16" t="s">
        <v>124</v>
      </c>
      <c r="C247" s="16">
        <v>36.61</v>
      </c>
      <c r="D247" s="18">
        <v>3.5000000000000001E-3</v>
      </c>
      <c r="E247" s="17">
        <v>5035.7700000000004</v>
      </c>
      <c r="F247" s="18">
        <v>3.2000000000000002E-3</v>
      </c>
    </row>
    <row r="248" spans="1:6" x14ac:dyDescent="0.35">
      <c r="A248" s="19">
        <v>22</v>
      </c>
      <c r="B248" s="19" t="s">
        <v>125</v>
      </c>
      <c r="C248" s="19">
        <v>35.83</v>
      </c>
      <c r="D248" s="20">
        <v>3.3999999999999998E-3</v>
      </c>
      <c r="E248" s="21">
        <v>5399.43</v>
      </c>
      <c r="F248" s="20">
        <v>3.3999999999999998E-3</v>
      </c>
    </row>
    <row r="249" spans="1:6" x14ac:dyDescent="0.35">
      <c r="A249" s="16">
        <v>23</v>
      </c>
      <c r="B249" s="16" t="s">
        <v>127</v>
      </c>
      <c r="C249" s="16">
        <v>21.45</v>
      </c>
      <c r="D249" s="18">
        <v>2E-3</v>
      </c>
      <c r="E249" s="17">
        <v>2853.16</v>
      </c>
      <c r="F249" s="18">
        <v>1.8E-3</v>
      </c>
    </row>
    <row r="250" spans="1:6" x14ac:dyDescent="0.35">
      <c r="A250" s="19">
        <v>24</v>
      </c>
      <c r="B250" s="19" t="s">
        <v>126</v>
      </c>
      <c r="C250" s="19">
        <v>20.69</v>
      </c>
      <c r="D250" s="20">
        <v>2E-3</v>
      </c>
      <c r="E250" s="21">
        <v>3017.62</v>
      </c>
      <c r="F250" s="20">
        <v>1.9E-3</v>
      </c>
    </row>
    <row r="251" spans="1:6" x14ac:dyDescent="0.35">
      <c r="A251" s="16">
        <v>25</v>
      </c>
      <c r="B251" s="16" t="s">
        <v>128</v>
      </c>
      <c r="C251" s="16">
        <v>11.4</v>
      </c>
      <c r="D251" s="18">
        <v>1.1000000000000001E-3</v>
      </c>
      <c r="E251" s="17">
        <v>1688.3</v>
      </c>
      <c r="F251" s="18">
        <v>1.1000000000000001E-3</v>
      </c>
    </row>
    <row r="252" spans="1:6" ht="20" x14ac:dyDescent="0.35">
      <c r="A252" s="19">
        <v>26</v>
      </c>
      <c r="B252" s="19" t="s">
        <v>130</v>
      </c>
      <c r="C252" s="19">
        <v>9.41</v>
      </c>
      <c r="D252" s="20">
        <v>8.9999999999999998E-4</v>
      </c>
      <c r="E252" s="21">
        <v>1498.65</v>
      </c>
      <c r="F252" s="20">
        <v>8.9999999999999998E-4</v>
      </c>
    </row>
    <row r="253" spans="1:6" x14ac:dyDescent="0.35">
      <c r="A253" s="16">
        <v>27</v>
      </c>
      <c r="B253" s="16" t="s">
        <v>132</v>
      </c>
      <c r="C253" s="16">
        <v>7.52</v>
      </c>
      <c r="D253" s="18">
        <v>6.9999999999999999E-4</v>
      </c>
      <c r="E253" s="17">
        <v>1274.9100000000001</v>
      </c>
      <c r="F253" s="18">
        <v>8.0000000000000004E-4</v>
      </c>
    </row>
    <row r="254" spans="1:6" ht="20" x14ac:dyDescent="0.35">
      <c r="A254" s="19">
        <v>28</v>
      </c>
      <c r="B254" s="19" t="s">
        <v>131</v>
      </c>
      <c r="C254" s="19">
        <v>6.32</v>
      </c>
      <c r="D254" s="20">
        <v>5.9999999999999995E-4</v>
      </c>
      <c r="E254" s="19">
        <v>718.59</v>
      </c>
      <c r="F254" s="20">
        <v>5.0000000000000001E-4</v>
      </c>
    </row>
    <row r="255" spans="1:6" x14ac:dyDescent="0.35">
      <c r="A255" s="16">
        <v>29</v>
      </c>
      <c r="B255" s="16" t="s">
        <v>134</v>
      </c>
      <c r="C255" s="16">
        <v>5.64</v>
      </c>
      <c r="D255" s="18">
        <v>5.0000000000000001E-4</v>
      </c>
      <c r="E255" s="17">
        <v>1240.1500000000001</v>
      </c>
      <c r="F255" s="18">
        <v>8.0000000000000004E-4</v>
      </c>
    </row>
    <row r="256" spans="1:6" x14ac:dyDescent="0.35">
      <c r="A256" s="19">
        <v>30</v>
      </c>
      <c r="B256" s="19" t="s">
        <v>133</v>
      </c>
      <c r="C256" s="19">
        <v>5.41</v>
      </c>
      <c r="D256" s="20">
        <v>5.0000000000000001E-4</v>
      </c>
      <c r="E256" s="19">
        <v>959.02</v>
      </c>
      <c r="F256" s="20">
        <v>5.9999999999999995E-4</v>
      </c>
    </row>
    <row r="257" spans="1:6" x14ac:dyDescent="0.35">
      <c r="A257" s="16">
        <v>31</v>
      </c>
      <c r="B257" s="16" t="s">
        <v>136</v>
      </c>
      <c r="C257" s="16">
        <v>4.5999999999999996</v>
      </c>
      <c r="D257" s="18">
        <v>4.0000000000000002E-4</v>
      </c>
      <c r="E257" s="17">
        <v>1000.59</v>
      </c>
      <c r="F257" s="18">
        <v>5.9999999999999995E-4</v>
      </c>
    </row>
    <row r="258" spans="1:6" x14ac:dyDescent="0.35">
      <c r="A258" s="19">
        <v>32</v>
      </c>
      <c r="B258" s="19" t="s">
        <v>135</v>
      </c>
      <c r="C258" s="19">
        <v>4.0999999999999996</v>
      </c>
      <c r="D258" s="20">
        <v>4.0000000000000002E-4</v>
      </c>
      <c r="E258" s="19">
        <v>683.81</v>
      </c>
      <c r="F258" s="20">
        <v>4.0000000000000002E-4</v>
      </c>
    </row>
    <row r="259" spans="1:6" x14ac:dyDescent="0.35">
      <c r="A259" s="16">
        <v>33</v>
      </c>
      <c r="B259" s="16" t="s">
        <v>129</v>
      </c>
      <c r="C259" s="16">
        <v>3.53</v>
      </c>
      <c r="D259" s="18">
        <v>2.9999999999999997E-4</v>
      </c>
      <c r="E259" s="17">
        <v>1069.54</v>
      </c>
      <c r="F259" s="18">
        <v>6.9999999999999999E-4</v>
      </c>
    </row>
    <row r="260" spans="1:6" x14ac:dyDescent="0.35">
      <c r="A260" s="19">
        <v>34</v>
      </c>
      <c r="B260" s="19" t="s">
        <v>138</v>
      </c>
      <c r="C260" s="19">
        <v>2.1</v>
      </c>
      <c r="D260" s="20">
        <v>2.0000000000000001E-4</v>
      </c>
      <c r="E260" s="19">
        <v>481.1</v>
      </c>
      <c r="F260" s="20">
        <v>2.9999999999999997E-4</v>
      </c>
    </row>
    <row r="261" spans="1:6" x14ac:dyDescent="0.35">
      <c r="A261" s="16">
        <v>35</v>
      </c>
      <c r="B261" s="16" t="s">
        <v>137</v>
      </c>
      <c r="C261" s="16">
        <v>1.87</v>
      </c>
      <c r="D261" s="18">
        <v>2.0000000000000001E-4</v>
      </c>
      <c r="E261" s="16">
        <v>347.87</v>
      </c>
      <c r="F261" s="18">
        <v>2.0000000000000001E-4</v>
      </c>
    </row>
    <row r="262" spans="1:6" x14ac:dyDescent="0.35">
      <c r="A262" s="19">
        <v>36</v>
      </c>
      <c r="B262" s="19" t="s">
        <v>139</v>
      </c>
      <c r="C262" s="19">
        <v>0.13</v>
      </c>
      <c r="D262" s="20">
        <v>0</v>
      </c>
      <c r="E262" s="19">
        <v>25.16</v>
      </c>
      <c r="F262" s="20">
        <v>0</v>
      </c>
    </row>
    <row r="263" spans="1:6" x14ac:dyDescent="0.35">
      <c r="A263" s="16">
        <v>37</v>
      </c>
      <c r="B263" s="16" t="s">
        <v>140</v>
      </c>
      <c r="C263" s="17">
        <v>1539.54</v>
      </c>
      <c r="D263" s="18">
        <v>0.14580000000000001</v>
      </c>
      <c r="E263" s="16">
        <v>244896.29</v>
      </c>
      <c r="F263" s="18">
        <v>0.15509999999999999</v>
      </c>
    </row>
    <row r="266" spans="1:6" ht="15" thickBot="1" x14ac:dyDescent="0.4">
      <c r="B266" s="23">
        <v>45200</v>
      </c>
    </row>
    <row r="267" spans="1:6" x14ac:dyDescent="0.35">
      <c r="A267" s="31" t="s">
        <v>98</v>
      </c>
      <c r="B267" s="31" t="s">
        <v>99</v>
      </c>
      <c r="C267" s="31" t="s">
        <v>100</v>
      </c>
      <c r="D267" s="31" t="s">
        <v>101</v>
      </c>
      <c r="E267" s="31" t="s">
        <v>102</v>
      </c>
      <c r="F267" s="31" t="s">
        <v>103</v>
      </c>
    </row>
    <row r="268" spans="1:6" ht="15" thickBot="1" x14ac:dyDescent="0.4">
      <c r="A268" s="32"/>
      <c r="B268" s="32"/>
      <c r="C268" s="32"/>
      <c r="D268" s="32"/>
      <c r="E268" s="32"/>
      <c r="F268" s="32"/>
    </row>
    <row r="269" spans="1:6" x14ac:dyDescent="0.35">
      <c r="A269" s="16">
        <v>1</v>
      </c>
      <c r="B269" s="16" t="s">
        <v>104</v>
      </c>
      <c r="C269" s="17">
        <v>2225.5500000000002</v>
      </c>
      <c r="D269" s="18">
        <v>0.1951</v>
      </c>
      <c r="E269" s="16">
        <v>297168.32</v>
      </c>
      <c r="F269" s="18">
        <v>0.17319999999999999</v>
      </c>
    </row>
    <row r="270" spans="1:6" x14ac:dyDescent="0.35">
      <c r="A270" s="19">
        <v>2</v>
      </c>
      <c r="B270" s="19" t="s">
        <v>105</v>
      </c>
      <c r="C270" s="19">
        <v>957.72</v>
      </c>
      <c r="D270" s="20">
        <v>8.3900000000000002E-2</v>
      </c>
      <c r="E270" s="19">
        <v>133243.89000000001</v>
      </c>
      <c r="F270" s="20">
        <v>7.7700000000000005E-2</v>
      </c>
    </row>
    <row r="271" spans="1:6" x14ac:dyDescent="0.35">
      <c r="A271" s="16">
        <v>3</v>
      </c>
      <c r="B271" s="16" t="s">
        <v>106</v>
      </c>
      <c r="C271" s="16">
        <v>778.04</v>
      </c>
      <c r="D271" s="18">
        <v>6.8199999999999997E-2</v>
      </c>
      <c r="E271" s="16">
        <v>132269.35</v>
      </c>
      <c r="F271" s="18">
        <v>7.7100000000000002E-2</v>
      </c>
    </row>
    <row r="272" spans="1:6" x14ac:dyDescent="0.35">
      <c r="A272" s="19">
        <v>4</v>
      </c>
      <c r="B272" s="19" t="s">
        <v>107</v>
      </c>
      <c r="C272" s="19">
        <v>752.99</v>
      </c>
      <c r="D272" s="20">
        <v>6.6000000000000003E-2</v>
      </c>
      <c r="E272" s="19">
        <v>107856.43</v>
      </c>
      <c r="F272" s="20">
        <v>6.2899999999999998E-2</v>
      </c>
    </row>
    <row r="273" spans="1:6" x14ac:dyDescent="0.35">
      <c r="A273" s="16">
        <v>5</v>
      </c>
      <c r="B273" s="16" t="s">
        <v>110</v>
      </c>
      <c r="C273" s="16">
        <v>588.01</v>
      </c>
      <c r="D273" s="18">
        <v>5.1499999999999997E-2</v>
      </c>
      <c r="E273" s="17">
        <v>81040.7</v>
      </c>
      <c r="F273" s="18">
        <v>4.7199999999999999E-2</v>
      </c>
    </row>
    <row r="274" spans="1:6" x14ac:dyDescent="0.35">
      <c r="A274" s="19">
        <v>6</v>
      </c>
      <c r="B274" s="19" t="s">
        <v>108</v>
      </c>
      <c r="C274" s="19">
        <v>538.52</v>
      </c>
      <c r="D274" s="20">
        <v>4.7199999999999999E-2</v>
      </c>
      <c r="E274" s="21">
        <v>87385.36</v>
      </c>
      <c r="F274" s="20">
        <v>5.0900000000000001E-2</v>
      </c>
    </row>
    <row r="275" spans="1:6" x14ac:dyDescent="0.35">
      <c r="A275" s="16">
        <v>7</v>
      </c>
      <c r="B275" s="16" t="s">
        <v>109</v>
      </c>
      <c r="C275" s="16">
        <v>461.98</v>
      </c>
      <c r="D275" s="18">
        <v>4.0500000000000001E-2</v>
      </c>
      <c r="E275" s="17">
        <v>72771.58</v>
      </c>
      <c r="F275" s="18">
        <v>4.24E-2</v>
      </c>
    </row>
    <row r="276" spans="1:6" x14ac:dyDescent="0.35">
      <c r="A276" s="19">
        <v>8</v>
      </c>
      <c r="B276" s="19" t="s">
        <v>111</v>
      </c>
      <c r="C276" s="19">
        <v>449.9</v>
      </c>
      <c r="D276" s="20">
        <v>3.9399999999999998E-2</v>
      </c>
      <c r="E276" s="21">
        <v>60577.68</v>
      </c>
      <c r="F276" s="20">
        <v>3.5299999999999998E-2</v>
      </c>
    </row>
    <row r="277" spans="1:6" x14ac:dyDescent="0.35">
      <c r="A277" s="16">
        <v>9</v>
      </c>
      <c r="B277" s="16" t="s">
        <v>112</v>
      </c>
      <c r="C277" s="16">
        <v>364.34</v>
      </c>
      <c r="D277" s="18">
        <v>3.1899999999999998E-2</v>
      </c>
      <c r="E277" s="17">
        <v>57809.55</v>
      </c>
      <c r="F277" s="18">
        <v>3.3700000000000001E-2</v>
      </c>
    </row>
    <row r="278" spans="1:6" x14ac:dyDescent="0.35">
      <c r="A278" s="19">
        <v>10</v>
      </c>
      <c r="B278" s="19" t="s">
        <v>113</v>
      </c>
      <c r="C278" s="19">
        <v>361.83</v>
      </c>
      <c r="D278" s="20">
        <v>3.1699999999999999E-2</v>
      </c>
      <c r="E278" s="21">
        <v>71941.95</v>
      </c>
      <c r="F278" s="20">
        <v>4.19E-2</v>
      </c>
    </row>
    <row r="279" spans="1:6" x14ac:dyDescent="0.35">
      <c r="A279" s="16">
        <v>11</v>
      </c>
      <c r="B279" s="16" t="s">
        <v>114</v>
      </c>
      <c r="C279" s="16">
        <v>343.88</v>
      </c>
      <c r="D279" s="18">
        <v>3.0099999999999998E-2</v>
      </c>
      <c r="E279" s="17">
        <v>54202.12</v>
      </c>
      <c r="F279" s="18">
        <v>3.1600000000000003E-2</v>
      </c>
    </row>
    <row r="280" spans="1:6" x14ac:dyDescent="0.35">
      <c r="A280" s="19">
        <v>12</v>
      </c>
      <c r="B280" s="19" t="s">
        <v>115</v>
      </c>
      <c r="C280" s="19">
        <v>321.25</v>
      </c>
      <c r="D280" s="20">
        <v>2.8199999999999999E-2</v>
      </c>
      <c r="E280" s="21">
        <v>54677.68</v>
      </c>
      <c r="F280" s="20">
        <v>3.1899999999999998E-2</v>
      </c>
    </row>
    <row r="281" spans="1:6" x14ac:dyDescent="0.35">
      <c r="A281" s="16">
        <v>13</v>
      </c>
      <c r="B281" s="16" t="s">
        <v>116</v>
      </c>
      <c r="C281" s="16">
        <v>293.23</v>
      </c>
      <c r="D281" s="18">
        <v>2.5700000000000001E-2</v>
      </c>
      <c r="E281" s="17">
        <v>44962.400000000001</v>
      </c>
      <c r="F281" s="18">
        <v>2.6200000000000001E-2</v>
      </c>
    </row>
    <row r="282" spans="1:6" x14ac:dyDescent="0.35">
      <c r="A282" s="19">
        <v>14</v>
      </c>
      <c r="B282" s="19" t="s">
        <v>117</v>
      </c>
      <c r="C282" s="19">
        <v>254.32</v>
      </c>
      <c r="D282" s="20">
        <v>2.23E-2</v>
      </c>
      <c r="E282" s="21">
        <v>36657.160000000003</v>
      </c>
      <c r="F282" s="20">
        <v>2.1399999999999999E-2</v>
      </c>
    </row>
    <row r="283" spans="1:6" x14ac:dyDescent="0.35">
      <c r="A283" s="16">
        <v>15</v>
      </c>
      <c r="B283" s="16" t="s">
        <v>118</v>
      </c>
      <c r="C283" s="16">
        <v>243.43</v>
      </c>
      <c r="D283" s="18">
        <v>2.1299999999999999E-2</v>
      </c>
      <c r="E283" s="17">
        <v>34574.49</v>
      </c>
      <c r="F283" s="18">
        <v>2.0199999999999999E-2</v>
      </c>
    </row>
    <row r="284" spans="1:6" x14ac:dyDescent="0.35">
      <c r="A284" s="19">
        <v>16</v>
      </c>
      <c r="B284" s="19" t="s">
        <v>119</v>
      </c>
      <c r="C284" s="19">
        <v>159.72</v>
      </c>
      <c r="D284" s="20">
        <v>1.4E-2</v>
      </c>
      <c r="E284" s="21">
        <v>27543.17</v>
      </c>
      <c r="F284" s="20">
        <v>1.61E-2</v>
      </c>
    </row>
    <row r="285" spans="1:6" x14ac:dyDescent="0.35">
      <c r="A285" s="16">
        <v>17</v>
      </c>
      <c r="B285" s="16" t="s">
        <v>121</v>
      </c>
      <c r="C285" s="16">
        <v>120.12</v>
      </c>
      <c r="D285" s="18">
        <v>1.0500000000000001E-2</v>
      </c>
      <c r="E285" s="17">
        <v>17712.04</v>
      </c>
      <c r="F285" s="18">
        <v>1.03E-2</v>
      </c>
    </row>
    <row r="286" spans="1:6" x14ac:dyDescent="0.35">
      <c r="A286" s="19">
        <v>18</v>
      </c>
      <c r="B286" s="19" t="s">
        <v>120</v>
      </c>
      <c r="C286" s="19">
        <v>118.93</v>
      </c>
      <c r="D286" s="20">
        <v>1.04E-2</v>
      </c>
      <c r="E286" s="21">
        <v>16946.849999999999</v>
      </c>
      <c r="F286" s="20">
        <v>9.9000000000000008E-3</v>
      </c>
    </row>
    <row r="287" spans="1:6" x14ac:dyDescent="0.35">
      <c r="A287" s="16">
        <v>19</v>
      </c>
      <c r="B287" s="16" t="s">
        <v>123</v>
      </c>
      <c r="C287" s="16">
        <v>101.78</v>
      </c>
      <c r="D287" s="18">
        <v>8.8999999999999999E-3</v>
      </c>
      <c r="E287" s="17">
        <v>13782.56</v>
      </c>
      <c r="F287" s="18">
        <v>8.0000000000000002E-3</v>
      </c>
    </row>
    <row r="288" spans="1:6" x14ac:dyDescent="0.35">
      <c r="A288" s="19">
        <v>20</v>
      </c>
      <c r="B288" s="19" t="s">
        <v>122</v>
      </c>
      <c r="C288" s="19">
        <v>96.06</v>
      </c>
      <c r="D288" s="20">
        <v>8.3999999999999995E-3</v>
      </c>
      <c r="E288" s="21">
        <v>13132.59</v>
      </c>
      <c r="F288" s="20">
        <v>7.7000000000000002E-3</v>
      </c>
    </row>
    <row r="289" spans="1:6" x14ac:dyDescent="0.35">
      <c r="A289" s="16">
        <v>21</v>
      </c>
      <c r="B289" s="16" t="s">
        <v>124</v>
      </c>
      <c r="C289" s="16">
        <v>41.56</v>
      </c>
      <c r="D289" s="18">
        <v>3.5999999999999999E-3</v>
      </c>
      <c r="E289" s="17">
        <v>5717.15</v>
      </c>
      <c r="F289" s="18">
        <v>3.3E-3</v>
      </c>
    </row>
    <row r="290" spans="1:6" x14ac:dyDescent="0.35">
      <c r="A290" s="19">
        <v>22</v>
      </c>
      <c r="B290" s="19" t="s">
        <v>125</v>
      </c>
      <c r="C290" s="19">
        <v>39.880000000000003</v>
      </c>
      <c r="D290" s="20">
        <v>3.5000000000000001E-3</v>
      </c>
      <c r="E290" s="21">
        <v>6198.21</v>
      </c>
      <c r="F290" s="20">
        <v>3.5999999999999999E-3</v>
      </c>
    </row>
    <row r="291" spans="1:6" x14ac:dyDescent="0.35">
      <c r="A291" s="16">
        <v>23</v>
      </c>
      <c r="B291" s="16" t="s">
        <v>126</v>
      </c>
      <c r="C291" s="16">
        <v>24.06</v>
      </c>
      <c r="D291" s="18">
        <v>2.0999999999999999E-3</v>
      </c>
      <c r="E291" s="17">
        <v>3467.39</v>
      </c>
      <c r="F291" s="18">
        <v>2E-3</v>
      </c>
    </row>
    <row r="292" spans="1:6" x14ac:dyDescent="0.35">
      <c r="A292" s="19">
        <v>24</v>
      </c>
      <c r="B292" s="19" t="s">
        <v>127</v>
      </c>
      <c r="C292" s="19">
        <v>23.01</v>
      </c>
      <c r="D292" s="20">
        <v>2E-3</v>
      </c>
      <c r="E292" s="21">
        <v>3120.47</v>
      </c>
      <c r="F292" s="20">
        <v>1.8E-3</v>
      </c>
    </row>
    <row r="293" spans="1:6" x14ac:dyDescent="0.35">
      <c r="A293" s="16">
        <v>25</v>
      </c>
      <c r="B293" s="16" t="s">
        <v>128</v>
      </c>
      <c r="C293" s="16">
        <v>12.31</v>
      </c>
      <c r="D293" s="18">
        <v>1.1000000000000001E-3</v>
      </c>
      <c r="E293" s="17">
        <v>1767.06</v>
      </c>
      <c r="F293" s="18">
        <v>1E-3</v>
      </c>
    </row>
    <row r="294" spans="1:6" ht="20" x14ac:dyDescent="0.35">
      <c r="A294" s="19">
        <v>26</v>
      </c>
      <c r="B294" s="19" t="s">
        <v>130</v>
      </c>
      <c r="C294" s="19">
        <v>9.81</v>
      </c>
      <c r="D294" s="20">
        <v>8.9999999999999998E-4</v>
      </c>
      <c r="E294" s="21">
        <v>1604.37</v>
      </c>
      <c r="F294" s="20">
        <v>8.9999999999999998E-4</v>
      </c>
    </row>
    <row r="295" spans="1:6" x14ac:dyDescent="0.35">
      <c r="A295" s="16">
        <v>27</v>
      </c>
      <c r="B295" s="16" t="s">
        <v>132</v>
      </c>
      <c r="C295" s="16">
        <v>8.4700000000000006</v>
      </c>
      <c r="D295" s="18">
        <v>6.9999999999999999E-4</v>
      </c>
      <c r="E295" s="17">
        <v>1429.11</v>
      </c>
      <c r="F295" s="18">
        <v>8.0000000000000004E-4</v>
      </c>
    </row>
    <row r="296" spans="1:6" ht="20" x14ac:dyDescent="0.35">
      <c r="A296" s="19">
        <v>28</v>
      </c>
      <c r="B296" s="19" t="s">
        <v>131</v>
      </c>
      <c r="C296" s="19">
        <v>7.1</v>
      </c>
      <c r="D296" s="20">
        <v>5.9999999999999995E-4</v>
      </c>
      <c r="E296" s="19">
        <v>787.39</v>
      </c>
      <c r="F296" s="20">
        <v>5.0000000000000001E-4</v>
      </c>
    </row>
    <row r="297" spans="1:6" x14ac:dyDescent="0.35">
      <c r="A297" s="16">
        <v>29</v>
      </c>
      <c r="B297" s="16" t="s">
        <v>134</v>
      </c>
      <c r="C297" s="16">
        <v>6.03</v>
      </c>
      <c r="D297" s="18">
        <v>5.0000000000000001E-4</v>
      </c>
      <c r="E297" s="17">
        <v>1350.3</v>
      </c>
      <c r="F297" s="18">
        <v>8.0000000000000004E-4</v>
      </c>
    </row>
    <row r="298" spans="1:6" x14ac:dyDescent="0.35">
      <c r="A298" s="19">
        <v>30</v>
      </c>
      <c r="B298" s="19" t="s">
        <v>133</v>
      </c>
      <c r="C298" s="19">
        <v>5.93</v>
      </c>
      <c r="D298" s="20">
        <v>5.0000000000000001E-4</v>
      </c>
      <c r="E298" s="21">
        <v>1063.95</v>
      </c>
      <c r="F298" s="20">
        <v>5.9999999999999995E-4</v>
      </c>
    </row>
    <row r="299" spans="1:6" x14ac:dyDescent="0.35">
      <c r="A299" s="16">
        <v>31</v>
      </c>
      <c r="B299" s="16" t="s">
        <v>136</v>
      </c>
      <c r="C299" s="16">
        <v>4.87</v>
      </c>
      <c r="D299" s="18">
        <v>4.0000000000000002E-4</v>
      </c>
      <c r="E299" s="17">
        <v>1067.95</v>
      </c>
      <c r="F299" s="18">
        <v>5.9999999999999995E-4</v>
      </c>
    </row>
    <row r="300" spans="1:6" x14ac:dyDescent="0.35">
      <c r="A300" s="19">
        <v>32</v>
      </c>
      <c r="B300" s="19" t="s">
        <v>129</v>
      </c>
      <c r="C300" s="19">
        <v>4.09</v>
      </c>
      <c r="D300" s="20">
        <v>4.0000000000000002E-4</v>
      </c>
      <c r="E300" s="21">
        <v>1333.58</v>
      </c>
      <c r="F300" s="20">
        <v>8.0000000000000004E-4</v>
      </c>
    </row>
    <row r="301" spans="1:6" x14ac:dyDescent="0.35">
      <c r="A301" s="16">
        <v>33</v>
      </c>
      <c r="B301" s="16" t="s">
        <v>135</v>
      </c>
      <c r="C301" s="16">
        <v>3.85</v>
      </c>
      <c r="D301" s="18">
        <v>2.9999999999999997E-4</v>
      </c>
      <c r="E301" s="16">
        <v>697.17</v>
      </c>
      <c r="F301" s="18">
        <v>4.0000000000000002E-4</v>
      </c>
    </row>
    <row r="302" spans="1:6" x14ac:dyDescent="0.35">
      <c r="A302" s="19">
        <v>34</v>
      </c>
      <c r="B302" s="19" t="s">
        <v>137</v>
      </c>
      <c r="C302" s="19">
        <v>2.11</v>
      </c>
      <c r="D302" s="20">
        <v>2.0000000000000001E-4</v>
      </c>
      <c r="E302" s="19">
        <v>396.87</v>
      </c>
      <c r="F302" s="20">
        <v>2.0000000000000001E-4</v>
      </c>
    </row>
    <row r="303" spans="1:6" x14ac:dyDescent="0.35">
      <c r="A303" s="16">
        <v>35</v>
      </c>
      <c r="B303" s="16" t="s">
        <v>138</v>
      </c>
      <c r="C303" s="16">
        <v>2.02</v>
      </c>
      <c r="D303" s="18">
        <v>2.0000000000000001E-4</v>
      </c>
      <c r="E303" s="16">
        <v>468.85</v>
      </c>
      <c r="F303" s="18">
        <v>2.9999999999999997E-4</v>
      </c>
    </row>
    <row r="304" spans="1:6" x14ac:dyDescent="0.35">
      <c r="A304" s="19">
        <v>36</v>
      </c>
      <c r="B304" s="19" t="s">
        <v>139</v>
      </c>
      <c r="C304" s="19">
        <v>0.17</v>
      </c>
      <c r="D304" s="20">
        <v>0</v>
      </c>
      <c r="E304" s="19">
        <v>30.13</v>
      </c>
      <c r="F304" s="20">
        <v>0</v>
      </c>
    </row>
    <row r="305" spans="1:6" x14ac:dyDescent="0.35">
      <c r="A305" s="16">
        <v>37</v>
      </c>
      <c r="B305" s="16" t="s">
        <v>140</v>
      </c>
      <c r="C305" s="17">
        <v>1681.93</v>
      </c>
      <c r="D305" s="18">
        <v>0.1474</v>
      </c>
      <c r="E305" s="16">
        <v>269012.53000000003</v>
      </c>
      <c r="F305" s="18">
        <v>0.15679999999999999</v>
      </c>
    </row>
    <row r="309" spans="1:6" ht="15" thickBot="1" x14ac:dyDescent="0.4">
      <c r="B309" s="23">
        <v>45231</v>
      </c>
    </row>
    <row r="310" spans="1:6" x14ac:dyDescent="0.35">
      <c r="A310" s="31" t="s">
        <v>98</v>
      </c>
      <c r="B310" s="31" t="s">
        <v>99</v>
      </c>
      <c r="C310" s="31" t="s">
        <v>100</v>
      </c>
      <c r="D310" s="31" t="s">
        <v>101</v>
      </c>
      <c r="E310" s="31" t="s">
        <v>102</v>
      </c>
      <c r="F310" s="31" t="s">
        <v>103</v>
      </c>
    </row>
    <row r="311" spans="1:6" ht="15" thickBot="1" x14ac:dyDescent="0.4">
      <c r="A311" s="32"/>
      <c r="B311" s="32"/>
      <c r="C311" s="32"/>
      <c r="D311" s="32"/>
      <c r="E311" s="32"/>
      <c r="F311" s="32"/>
    </row>
    <row r="312" spans="1:6" x14ac:dyDescent="0.35">
      <c r="A312" s="16">
        <v>1</v>
      </c>
      <c r="B312" s="16" t="s">
        <v>104</v>
      </c>
      <c r="C312" s="17">
        <v>2083.44</v>
      </c>
      <c r="D312" s="18">
        <v>0.18540000000000001</v>
      </c>
      <c r="E312" s="16">
        <v>289387.43</v>
      </c>
      <c r="F312" s="18">
        <v>0.1663</v>
      </c>
    </row>
    <row r="313" spans="1:6" x14ac:dyDescent="0.35">
      <c r="A313" s="19">
        <v>2</v>
      </c>
      <c r="B313" s="19" t="s">
        <v>105</v>
      </c>
      <c r="C313" s="19">
        <v>935.02</v>
      </c>
      <c r="D313" s="20">
        <v>8.3199999999999996E-2</v>
      </c>
      <c r="E313" s="19">
        <v>132126.57</v>
      </c>
      <c r="F313" s="20">
        <v>7.5899999999999995E-2</v>
      </c>
    </row>
    <row r="314" spans="1:6" x14ac:dyDescent="0.35">
      <c r="A314" s="16">
        <v>3</v>
      </c>
      <c r="B314" s="16" t="s">
        <v>107</v>
      </c>
      <c r="C314" s="16">
        <v>786.83</v>
      </c>
      <c r="D314" s="18">
        <v>7.0000000000000007E-2</v>
      </c>
      <c r="E314" s="16">
        <v>118988.81</v>
      </c>
      <c r="F314" s="18">
        <v>6.8400000000000002E-2</v>
      </c>
    </row>
    <row r="315" spans="1:6" x14ac:dyDescent="0.35">
      <c r="A315" s="19">
        <v>4</v>
      </c>
      <c r="B315" s="19" t="s">
        <v>106</v>
      </c>
      <c r="C315" s="19">
        <v>764.77</v>
      </c>
      <c r="D315" s="20">
        <v>6.8099999999999994E-2</v>
      </c>
      <c r="E315" s="19">
        <v>131905.47</v>
      </c>
      <c r="F315" s="20">
        <v>7.5800000000000006E-2</v>
      </c>
    </row>
    <row r="316" spans="1:6" x14ac:dyDescent="0.35">
      <c r="A316" s="16">
        <v>5</v>
      </c>
      <c r="B316" s="16" t="s">
        <v>108</v>
      </c>
      <c r="C316" s="16">
        <v>525.29999999999995</v>
      </c>
      <c r="D316" s="18">
        <v>4.6800000000000001E-2</v>
      </c>
      <c r="E316" s="17">
        <v>87369.93</v>
      </c>
      <c r="F316" s="18">
        <v>5.0200000000000002E-2</v>
      </c>
    </row>
    <row r="317" spans="1:6" x14ac:dyDescent="0.35">
      <c r="A317" s="19">
        <v>6</v>
      </c>
      <c r="B317" s="19" t="s">
        <v>110</v>
      </c>
      <c r="C317" s="19">
        <v>510.51</v>
      </c>
      <c r="D317" s="20">
        <v>4.5400000000000003E-2</v>
      </c>
      <c r="E317" s="21">
        <v>72171.990000000005</v>
      </c>
      <c r="F317" s="20">
        <v>4.1500000000000002E-2</v>
      </c>
    </row>
    <row r="318" spans="1:6" x14ac:dyDescent="0.35">
      <c r="A318" s="16">
        <v>7</v>
      </c>
      <c r="B318" s="16" t="s">
        <v>109</v>
      </c>
      <c r="C318" s="16">
        <v>451.81</v>
      </c>
      <c r="D318" s="18">
        <v>4.02E-2</v>
      </c>
      <c r="E318" s="17">
        <v>74471.53</v>
      </c>
      <c r="F318" s="18">
        <v>4.2799999999999998E-2</v>
      </c>
    </row>
    <row r="319" spans="1:6" x14ac:dyDescent="0.35">
      <c r="A319" s="19">
        <v>8</v>
      </c>
      <c r="B319" s="19" t="s">
        <v>111</v>
      </c>
      <c r="C319" s="19">
        <v>431.73</v>
      </c>
      <c r="D319" s="20">
        <v>3.8399999999999997E-2</v>
      </c>
      <c r="E319" s="21">
        <v>61568.09</v>
      </c>
      <c r="F319" s="20">
        <v>3.5400000000000001E-2</v>
      </c>
    </row>
    <row r="320" spans="1:6" x14ac:dyDescent="0.35">
      <c r="A320" s="16">
        <v>9</v>
      </c>
      <c r="B320" s="16" t="s">
        <v>113</v>
      </c>
      <c r="C320" s="16">
        <v>376.19</v>
      </c>
      <c r="D320" s="18">
        <v>3.3500000000000002E-2</v>
      </c>
      <c r="E320" s="17">
        <v>74054.42</v>
      </c>
      <c r="F320" s="18">
        <v>4.2599999999999999E-2</v>
      </c>
    </row>
    <row r="321" spans="1:6" x14ac:dyDescent="0.35">
      <c r="A321" s="19">
        <v>10</v>
      </c>
      <c r="B321" s="19" t="s">
        <v>114</v>
      </c>
      <c r="C321" s="19">
        <v>375.47</v>
      </c>
      <c r="D321" s="20">
        <v>3.3399999999999999E-2</v>
      </c>
      <c r="E321" s="21">
        <v>60451.55</v>
      </c>
      <c r="F321" s="20">
        <v>3.4700000000000002E-2</v>
      </c>
    </row>
    <row r="322" spans="1:6" x14ac:dyDescent="0.35">
      <c r="A322" s="16">
        <v>11</v>
      </c>
      <c r="B322" s="16" t="s">
        <v>112</v>
      </c>
      <c r="C322" s="16">
        <v>338.54</v>
      </c>
      <c r="D322" s="18">
        <v>3.0099999999999998E-2</v>
      </c>
      <c r="E322" s="17">
        <v>58262.18</v>
      </c>
      <c r="F322" s="18">
        <v>3.3500000000000002E-2</v>
      </c>
    </row>
    <row r="323" spans="1:6" x14ac:dyDescent="0.35">
      <c r="A323" s="19">
        <v>12</v>
      </c>
      <c r="B323" s="19" t="s">
        <v>115</v>
      </c>
      <c r="C323" s="19">
        <v>312.97000000000003</v>
      </c>
      <c r="D323" s="20">
        <v>2.7900000000000001E-2</v>
      </c>
      <c r="E323" s="21">
        <v>53753.8</v>
      </c>
      <c r="F323" s="20">
        <v>3.09E-2</v>
      </c>
    </row>
    <row r="324" spans="1:6" x14ac:dyDescent="0.35">
      <c r="A324" s="16">
        <v>13</v>
      </c>
      <c r="B324" s="16" t="s">
        <v>116</v>
      </c>
      <c r="C324" s="16">
        <v>279.29000000000002</v>
      </c>
      <c r="D324" s="18">
        <v>2.4899999999999999E-2</v>
      </c>
      <c r="E324" s="17">
        <v>45139.63</v>
      </c>
      <c r="F324" s="18">
        <v>2.5899999999999999E-2</v>
      </c>
    </row>
    <row r="325" spans="1:6" x14ac:dyDescent="0.35">
      <c r="A325" s="19">
        <v>14</v>
      </c>
      <c r="B325" s="19" t="s">
        <v>117</v>
      </c>
      <c r="C325" s="19">
        <v>258.38</v>
      </c>
      <c r="D325" s="20">
        <v>2.3E-2</v>
      </c>
      <c r="E325" s="21">
        <v>36759.86</v>
      </c>
      <c r="F325" s="20">
        <v>2.1100000000000001E-2</v>
      </c>
    </row>
    <row r="326" spans="1:6" x14ac:dyDescent="0.35">
      <c r="A326" s="16">
        <v>15</v>
      </c>
      <c r="B326" s="16" t="s">
        <v>118</v>
      </c>
      <c r="C326" s="16">
        <v>244.19</v>
      </c>
      <c r="D326" s="18">
        <v>2.1700000000000001E-2</v>
      </c>
      <c r="E326" s="17">
        <v>34247.19</v>
      </c>
      <c r="F326" s="18">
        <v>1.9699999999999999E-2</v>
      </c>
    </row>
    <row r="327" spans="1:6" x14ac:dyDescent="0.35">
      <c r="A327" s="19">
        <v>16</v>
      </c>
      <c r="B327" s="19" t="s">
        <v>119</v>
      </c>
      <c r="C327" s="19">
        <v>154.30000000000001</v>
      </c>
      <c r="D327" s="20">
        <v>1.37E-2</v>
      </c>
      <c r="E327" s="21">
        <v>28826.5</v>
      </c>
      <c r="F327" s="20">
        <v>1.66E-2</v>
      </c>
    </row>
    <row r="328" spans="1:6" x14ac:dyDescent="0.35">
      <c r="A328" s="16">
        <v>17</v>
      </c>
      <c r="B328" s="16" t="s">
        <v>120</v>
      </c>
      <c r="C328" s="16">
        <v>122.61</v>
      </c>
      <c r="D328" s="18">
        <v>1.09E-2</v>
      </c>
      <c r="E328" s="17">
        <v>17742.21</v>
      </c>
      <c r="F328" s="18">
        <v>1.0200000000000001E-2</v>
      </c>
    </row>
    <row r="329" spans="1:6" x14ac:dyDescent="0.35">
      <c r="A329" s="19">
        <v>18</v>
      </c>
      <c r="B329" s="19" t="s">
        <v>121</v>
      </c>
      <c r="C329" s="19">
        <v>120.23</v>
      </c>
      <c r="D329" s="20">
        <v>1.0699999999999999E-2</v>
      </c>
      <c r="E329" s="21">
        <v>17829.16</v>
      </c>
      <c r="F329" s="20">
        <v>1.0200000000000001E-2</v>
      </c>
    </row>
    <row r="330" spans="1:6" x14ac:dyDescent="0.35">
      <c r="A330" s="16">
        <v>19</v>
      </c>
      <c r="B330" s="16" t="s">
        <v>123</v>
      </c>
      <c r="C330" s="16">
        <v>93.91</v>
      </c>
      <c r="D330" s="18">
        <v>8.3999999999999995E-3</v>
      </c>
      <c r="E330" s="17">
        <v>13195.54</v>
      </c>
      <c r="F330" s="18">
        <v>7.6E-3</v>
      </c>
    </row>
    <row r="331" spans="1:6" x14ac:dyDescent="0.35">
      <c r="A331" s="19">
        <v>20</v>
      </c>
      <c r="B331" s="19" t="s">
        <v>122</v>
      </c>
      <c r="C331" s="19">
        <v>90.04</v>
      </c>
      <c r="D331" s="20">
        <v>8.0000000000000002E-3</v>
      </c>
      <c r="E331" s="21">
        <v>12869.19</v>
      </c>
      <c r="F331" s="20">
        <v>7.4000000000000003E-3</v>
      </c>
    </row>
    <row r="332" spans="1:6" x14ac:dyDescent="0.35">
      <c r="A332" s="16">
        <v>21</v>
      </c>
      <c r="B332" s="16" t="s">
        <v>124</v>
      </c>
      <c r="C332" s="16">
        <v>40.700000000000003</v>
      </c>
      <c r="D332" s="18">
        <v>3.5999999999999999E-3</v>
      </c>
      <c r="E332" s="17">
        <v>5732.29</v>
      </c>
      <c r="F332" s="18">
        <v>3.3E-3</v>
      </c>
    </row>
    <row r="333" spans="1:6" x14ac:dyDescent="0.35">
      <c r="A333" s="19">
        <v>22</v>
      </c>
      <c r="B333" s="19" t="s">
        <v>125</v>
      </c>
      <c r="C333" s="19">
        <v>40.659999999999997</v>
      </c>
      <c r="D333" s="20">
        <v>3.5999999999999999E-3</v>
      </c>
      <c r="E333" s="21">
        <v>6345.35</v>
      </c>
      <c r="F333" s="20">
        <v>3.5999999999999999E-3</v>
      </c>
    </row>
    <row r="334" spans="1:6" x14ac:dyDescent="0.35">
      <c r="A334" s="16">
        <v>23</v>
      </c>
      <c r="B334" s="16" t="s">
        <v>126</v>
      </c>
      <c r="C334" s="16">
        <v>24.47</v>
      </c>
      <c r="D334" s="18">
        <v>2.2000000000000001E-3</v>
      </c>
      <c r="E334" s="17">
        <v>3516.93</v>
      </c>
      <c r="F334" s="18">
        <v>2E-3</v>
      </c>
    </row>
    <row r="335" spans="1:6" x14ac:dyDescent="0.35">
      <c r="A335" s="19">
        <v>24</v>
      </c>
      <c r="B335" s="19" t="s">
        <v>127</v>
      </c>
      <c r="C335" s="19">
        <v>22.35</v>
      </c>
      <c r="D335" s="20">
        <v>2E-3</v>
      </c>
      <c r="E335" s="21">
        <v>3189.81</v>
      </c>
      <c r="F335" s="20">
        <v>1.8E-3</v>
      </c>
    </row>
    <row r="336" spans="1:6" x14ac:dyDescent="0.35">
      <c r="A336" s="16">
        <v>25</v>
      </c>
      <c r="B336" s="16" t="s">
        <v>128</v>
      </c>
      <c r="C336" s="16">
        <v>11.83</v>
      </c>
      <c r="D336" s="18">
        <v>1.1000000000000001E-3</v>
      </c>
      <c r="E336" s="17">
        <v>1749</v>
      </c>
      <c r="F336" s="18">
        <v>1E-3</v>
      </c>
    </row>
    <row r="337" spans="1:6" ht="20" x14ac:dyDescent="0.35">
      <c r="A337" s="19">
        <v>26</v>
      </c>
      <c r="B337" s="19" t="s">
        <v>130</v>
      </c>
      <c r="C337" s="19">
        <v>10.24</v>
      </c>
      <c r="D337" s="20">
        <v>8.9999999999999998E-4</v>
      </c>
      <c r="E337" s="21">
        <v>1663.05</v>
      </c>
      <c r="F337" s="20">
        <v>1E-3</v>
      </c>
    </row>
    <row r="338" spans="1:6" x14ac:dyDescent="0.35">
      <c r="A338" s="16">
        <v>27</v>
      </c>
      <c r="B338" s="16" t="s">
        <v>132</v>
      </c>
      <c r="C338" s="16">
        <v>7.98</v>
      </c>
      <c r="D338" s="18">
        <v>6.9999999999999999E-4</v>
      </c>
      <c r="E338" s="17">
        <v>1343.51</v>
      </c>
      <c r="F338" s="18">
        <v>8.0000000000000004E-4</v>
      </c>
    </row>
    <row r="339" spans="1:6" ht="20" x14ac:dyDescent="0.35">
      <c r="A339" s="19">
        <v>28</v>
      </c>
      <c r="B339" s="19" t="s">
        <v>131</v>
      </c>
      <c r="C339" s="19">
        <v>7.13</v>
      </c>
      <c r="D339" s="20">
        <v>5.9999999999999995E-4</v>
      </c>
      <c r="E339" s="19">
        <v>835.34</v>
      </c>
      <c r="F339" s="20">
        <v>5.0000000000000001E-4</v>
      </c>
    </row>
    <row r="340" spans="1:6" x14ac:dyDescent="0.35">
      <c r="A340" s="16">
        <v>29</v>
      </c>
      <c r="B340" s="16" t="s">
        <v>133</v>
      </c>
      <c r="C340" s="16">
        <v>6.55</v>
      </c>
      <c r="D340" s="18">
        <v>5.9999999999999995E-4</v>
      </c>
      <c r="E340" s="17">
        <v>1169.9000000000001</v>
      </c>
      <c r="F340" s="18">
        <v>6.9999999999999999E-4</v>
      </c>
    </row>
    <row r="341" spans="1:6" x14ac:dyDescent="0.35">
      <c r="A341" s="19">
        <v>30</v>
      </c>
      <c r="B341" s="19" t="s">
        <v>134</v>
      </c>
      <c r="C341" s="19">
        <v>5.82</v>
      </c>
      <c r="D341" s="20">
        <v>5.0000000000000001E-4</v>
      </c>
      <c r="E341" s="21">
        <v>1349.79</v>
      </c>
      <c r="F341" s="20">
        <v>8.0000000000000004E-4</v>
      </c>
    </row>
    <row r="342" spans="1:6" x14ac:dyDescent="0.35">
      <c r="A342" s="16">
        <v>31</v>
      </c>
      <c r="B342" s="16" t="s">
        <v>136</v>
      </c>
      <c r="C342" s="16">
        <v>5.4</v>
      </c>
      <c r="D342" s="18">
        <v>5.0000000000000001E-4</v>
      </c>
      <c r="E342" s="17">
        <v>1170.8800000000001</v>
      </c>
      <c r="F342" s="18">
        <v>6.9999999999999999E-4</v>
      </c>
    </row>
    <row r="343" spans="1:6" x14ac:dyDescent="0.35">
      <c r="A343" s="19">
        <v>32</v>
      </c>
      <c r="B343" s="19" t="s">
        <v>129</v>
      </c>
      <c r="C343" s="19">
        <v>4.29</v>
      </c>
      <c r="D343" s="20">
        <v>4.0000000000000002E-4</v>
      </c>
      <c r="E343" s="21">
        <v>1434.65</v>
      </c>
      <c r="F343" s="20">
        <v>8.0000000000000004E-4</v>
      </c>
    </row>
    <row r="344" spans="1:6" x14ac:dyDescent="0.35">
      <c r="A344" s="16">
        <v>33</v>
      </c>
      <c r="B344" s="16" t="s">
        <v>135</v>
      </c>
      <c r="C344" s="16">
        <v>3.84</v>
      </c>
      <c r="D344" s="18">
        <v>2.9999999999999997E-4</v>
      </c>
      <c r="E344" s="16">
        <v>662.18</v>
      </c>
      <c r="F344" s="18">
        <v>4.0000000000000002E-4</v>
      </c>
    </row>
    <row r="345" spans="1:6" x14ac:dyDescent="0.35">
      <c r="A345" s="19">
        <v>34</v>
      </c>
      <c r="B345" s="19" t="s">
        <v>137</v>
      </c>
      <c r="C345" s="19">
        <v>2.2200000000000002</v>
      </c>
      <c r="D345" s="20">
        <v>2.0000000000000001E-4</v>
      </c>
      <c r="E345" s="19">
        <v>427.62</v>
      </c>
      <c r="F345" s="20">
        <v>2.0000000000000001E-4</v>
      </c>
    </row>
    <row r="346" spans="1:6" x14ac:dyDescent="0.35">
      <c r="A346" s="16">
        <v>35</v>
      </c>
      <c r="B346" s="16" t="s">
        <v>138</v>
      </c>
      <c r="C346" s="16">
        <v>1.71</v>
      </c>
      <c r="D346" s="18">
        <v>2.0000000000000001E-4</v>
      </c>
      <c r="E346" s="16">
        <v>369.58</v>
      </c>
      <c r="F346" s="18">
        <v>2.0000000000000001E-4</v>
      </c>
    </row>
    <row r="347" spans="1:6" x14ac:dyDescent="0.35">
      <c r="A347" s="19">
        <v>36</v>
      </c>
      <c r="B347" s="19" t="s">
        <v>139</v>
      </c>
      <c r="C347" s="19">
        <v>0.2</v>
      </c>
      <c r="D347" s="20">
        <v>0</v>
      </c>
      <c r="E347" s="19">
        <v>32.299999999999997</v>
      </c>
      <c r="F347" s="20">
        <v>0</v>
      </c>
    </row>
    <row r="348" spans="1:6" x14ac:dyDescent="0.35">
      <c r="A348" s="16">
        <v>37</v>
      </c>
      <c r="B348" s="16" t="s">
        <v>140</v>
      </c>
      <c r="C348" s="17">
        <v>1784.35</v>
      </c>
      <c r="D348" s="18">
        <v>0.1588</v>
      </c>
      <c r="E348" s="16">
        <v>287627.38</v>
      </c>
      <c r="F348" s="18">
        <v>0.1653</v>
      </c>
    </row>
    <row r="351" spans="1:6" ht="15" thickBot="1" x14ac:dyDescent="0.4">
      <c r="B351" s="23">
        <v>45261</v>
      </c>
    </row>
    <row r="352" spans="1:6" x14ac:dyDescent="0.35">
      <c r="A352" s="31" t="s">
        <v>98</v>
      </c>
      <c r="B352" s="31" t="s">
        <v>99</v>
      </c>
      <c r="C352" s="31" t="s">
        <v>100</v>
      </c>
      <c r="D352" s="31" t="s">
        <v>101</v>
      </c>
      <c r="E352" s="31" t="s">
        <v>102</v>
      </c>
      <c r="F352" s="31" t="s">
        <v>103</v>
      </c>
    </row>
    <row r="353" spans="1:6" ht="15" thickBot="1" x14ac:dyDescent="0.4">
      <c r="A353" s="32"/>
      <c r="B353" s="32"/>
      <c r="C353" s="32"/>
      <c r="D353" s="32"/>
      <c r="E353" s="32"/>
      <c r="F353" s="32"/>
    </row>
    <row r="354" spans="1:6" x14ac:dyDescent="0.35">
      <c r="A354" s="16">
        <v>1</v>
      </c>
      <c r="B354" s="16" t="s">
        <v>104</v>
      </c>
      <c r="C354" s="17">
        <v>1746.49</v>
      </c>
      <c r="D354" s="18">
        <v>0.14530000000000001</v>
      </c>
      <c r="E354" s="16">
        <v>229753.56</v>
      </c>
      <c r="F354" s="18">
        <v>0.126</v>
      </c>
    </row>
    <row r="355" spans="1:6" x14ac:dyDescent="0.35">
      <c r="A355" s="19">
        <v>2</v>
      </c>
      <c r="B355" s="19" t="s">
        <v>105</v>
      </c>
      <c r="C355" s="19">
        <v>921.02</v>
      </c>
      <c r="D355" s="20">
        <v>7.6600000000000001E-2</v>
      </c>
      <c r="E355" s="19">
        <v>128746.92</v>
      </c>
      <c r="F355" s="20">
        <v>7.0599999999999996E-2</v>
      </c>
    </row>
    <row r="356" spans="1:6" x14ac:dyDescent="0.35">
      <c r="A356" s="16">
        <v>3</v>
      </c>
      <c r="B356" s="16" t="s">
        <v>107</v>
      </c>
      <c r="C356" s="16">
        <v>774.15</v>
      </c>
      <c r="D356" s="18">
        <v>6.4399999999999999E-2</v>
      </c>
      <c r="E356" s="16">
        <v>115581.23</v>
      </c>
      <c r="F356" s="18">
        <v>6.3399999999999998E-2</v>
      </c>
    </row>
    <row r="357" spans="1:6" x14ac:dyDescent="0.35">
      <c r="A357" s="19">
        <v>4</v>
      </c>
      <c r="B357" s="19" t="s">
        <v>106</v>
      </c>
      <c r="C357" s="19">
        <v>679.54</v>
      </c>
      <c r="D357" s="20">
        <v>5.6500000000000002E-2</v>
      </c>
      <c r="E357" s="19">
        <v>118318.89</v>
      </c>
      <c r="F357" s="20">
        <v>6.4899999999999999E-2</v>
      </c>
    </row>
    <row r="358" spans="1:6" x14ac:dyDescent="0.35">
      <c r="A358" s="16">
        <v>5</v>
      </c>
      <c r="B358" s="16" t="s">
        <v>108</v>
      </c>
      <c r="C358" s="16">
        <v>511.92</v>
      </c>
      <c r="D358" s="18">
        <v>4.2599999999999999E-2</v>
      </c>
      <c r="E358" s="17">
        <v>83498.19</v>
      </c>
      <c r="F358" s="18">
        <v>4.58E-2</v>
      </c>
    </row>
    <row r="359" spans="1:6" x14ac:dyDescent="0.35">
      <c r="A359" s="19">
        <v>6</v>
      </c>
      <c r="B359" s="19" t="s">
        <v>109</v>
      </c>
      <c r="C359" s="19">
        <v>458.04</v>
      </c>
      <c r="D359" s="20">
        <v>3.8100000000000002E-2</v>
      </c>
      <c r="E359" s="21">
        <v>74773.600000000006</v>
      </c>
      <c r="F359" s="20">
        <v>4.1000000000000002E-2</v>
      </c>
    </row>
    <row r="360" spans="1:6" x14ac:dyDescent="0.35">
      <c r="A360" s="16">
        <v>7</v>
      </c>
      <c r="B360" s="16" t="s">
        <v>113</v>
      </c>
      <c r="C360" s="16">
        <v>437.75</v>
      </c>
      <c r="D360" s="18">
        <v>3.6400000000000002E-2</v>
      </c>
      <c r="E360" s="17">
        <v>84149.99</v>
      </c>
      <c r="F360" s="18">
        <v>4.6199999999999998E-2</v>
      </c>
    </row>
    <row r="361" spans="1:6" x14ac:dyDescent="0.35">
      <c r="A361" s="19">
        <v>8</v>
      </c>
      <c r="B361" s="19" t="s">
        <v>110</v>
      </c>
      <c r="C361" s="19">
        <v>384.08</v>
      </c>
      <c r="D361" s="20">
        <v>3.2000000000000001E-2</v>
      </c>
      <c r="E361" s="21">
        <v>53739.43</v>
      </c>
      <c r="F361" s="20">
        <v>2.9499999999999998E-2</v>
      </c>
    </row>
    <row r="362" spans="1:6" x14ac:dyDescent="0.35">
      <c r="A362" s="16">
        <v>9</v>
      </c>
      <c r="B362" s="16" t="s">
        <v>111</v>
      </c>
      <c r="C362" s="16">
        <v>358.56</v>
      </c>
      <c r="D362" s="18">
        <v>2.98E-2</v>
      </c>
      <c r="E362" s="17">
        <v>49607.1</v>
      </c>
      <c r="F362" s="18">
        <v>2.7199999999999998E-2</v>
      </c>
    </row>
    <row r="363" spans="1:6" x14ac:dyDescent="0.35">
      <c r="A363" s="19">
        <v>10</v>
      </c>
      <c r="B363" s="19" t="s">
        <v>112</v>
      </c>
      <c r="C363" s="19">
        <v>341.58</v>
      </c>
      <c r="D363" s="20">
        <v>2.8400000000000002E-2</v>
      </c>
      <c r="E363" s="21">
        <v>57762.41</v>
      </c>
      <c r="F363" s="20">
        <v>3.1699999999999999E-2</v>
      </c>
    </row>
    <row r="364" spans="1:6" x14ac:dyDescent="0.35">
      <c r="A364" s="16">
        <v>11</v>
      </c>
      <c r="B364" s="16" t="s">
        <v>114</v>
      </c>
      <c r="C364" s="16">
        <v>332.74</v>
      </c>
      <c r="D364" s="18">
        <v>2.7699999999999999E-2</v>
      </c>
      <c r="E364" s="17">
        <v>55538.69</v>
      </c>
      <c r="F364" s="18">
        <v>3.0499999999999999E-2</v>
      </c>
    </row>
    <row r="365" spans="1:6" x14ac:dyDescent="0.35">
      <c r="A365" s="19">
        <v>12</v>
      </c>
      <c r="B365" s="19" t="s">
        <v>115</v>
      </c>
      <c r="C365" s="19">
        <v>303.95999999999998</v>
      </c>
      <c r="D365" s="20">
        <v>2.53E-2</v>
      </c>
      <c r="E365" s="21">
        <v>53216.78</v>
      </c>
      <c r="F365" s="20">
        <v>2.92E-2</v>
      </c>
    </row>
    <row r="366" spans="1:6" x14ac:dyDescent="0.35">
      <c r="A366" s="16">
        <v>13</v>
      </c>
      <c r="B366" s="16" t="s">
        <v>116</v>
      </c>
      <c r="C366" s="16">
        <v>290.86</v>
      </c>
      <c r="D366" s="18">
        <v>2.4199999999999999E-2</v>
      </c>
      <c r="E366" s="17">
        <v>45897.55</v>
      </c>
      <c r="F366" s="18">
        <v>2.52E-2</v>
      </c>
    </row>
    <row r="367" spans="1:6" x14ac:dyDescent="0.35">
      <c r="A367" s="19">
        <v>14</v>
      </c>
      <c r="B367" s="19" t="s">
        <v>117</v>
      </c>
      <c r="C367" s="19">
        <v>273.68</v>
      </c>
      <c r="D367" s="20">
        <v>2.2800000000000001E-2</v>
      </c>
      <c r="E367" s="21">
        <v>39059.74</v>
      </c>
      <c r="F367" s="20">
        <v>2.1399999999999999E-2</v>
      </c>
    </row>
    <row r="368" spans="1:6" x14ac:dyDescent="0.35">
      <c r="A368" s="16">
        <v>15</v>
      </c>
      <c r="B368" s="16" t="s">
        <v>118</v>
      </c>
      <c r="C368" s="16">
        <v>239.01</v>
      </c>
      <c r="D368" s="18">
        <v>1.9900000000000001E-2</v>
      </c>
      <c r="E368" s="17">
        <v>34650.83</v>
      </c>
      <c r="F368" s="18">
        <v>1.9E-2</v>
      </c>
    </row>
    <row r="369" spans="1:6" x14ac:dyDescent="0.35">
      <c r="A369" s="19">
        <v>16</v>
      </c>
      <c r="B369" s="19" t="s">
        <v>119</v>
      </c>
      <c r="C369" s="19">
        <v>151.53</v>
      </c>
      <c r="D369" s="20">
        <v>1.26E-2</v>
      </c>
      <c r="E369" s="21">
        <v>28595.01</v>
      </c>
      <c r="F369" s="20">
        <v>1.5699999999999999E-2</v>
      </c>
    </row>
    <row r="370" spans="1:6" x14ac:dyDescent="0.35">
      <c r="A370" s="16">
        <v>17</v>
      </c>
      <c r="B370" s="16" t="s">
        <v>120</v>
      </c>
      <c r="C370" s="16">
        <v>132.25</v>
      </c>
      <c r="D370" s="18">
        <v>1.0999999999999999E-2</v>
      </c>
      <c r="E370" s="17">
        <v>19260.59</v>
      </c>
      <c r="F370" s="18">
        <v>1.06E-2</v>
      </c>
    </row>
    <row r="371" spans="1:6" x14ac:dyDescent="0.35">
      <c r="A371" s="19">
        <v>18</v>
      </c>
      <c r="B371" s="19" t="s">
        <v>121</v>
      </c>
      <c r="C371" s="19">
        <v>117.11</v>
      </c>
      <c r="D371" s="20">
        <v>9.7000000000000003E-3</v>
      </c>
      <c r="E371" s="21">
        <v>17256.71</v>
      </c>
      <c r="F371" s="20">
        <v>9.4999999999999998E-3</v>
      </c>
    </row>
    <row r="372" spans="1:6" x14ac:dyDescent="0.35">
      <c r="A372" s="16">
        <v>19</v>
      </c>
      <c r="B372" s="16" t="s">
        <v>123</v>
      </c>
      <c r="C372" s="16">
        <v>106.17</v>
      </c>
      <c r="D372" s="18">
        <v>8.8000000000000005E-3</v>
      </c>
      <c r="E372" s="17">
        <v>14542.44</v>
      </c>
      <c r="F372" s="18">
        <v>8.0000000000000002E-3</v>
      </c>
    </row>
    <row r="373" spans="1:6" x14ac:dyDescent="0.35">
      <c r="A373" s="19">
        <v>20</v>
      </c>
      <c r="B373" s="19" t="s">
        <v>122</v>
      </c>
      <c r="C373" s="19">
        <v>82.74</v>
      </c>
      <c r="D373" s="20">
        <v>6.8999999999999999E-3</v>
      </c>
      <c r="E373" s="21">
        <v>11377.31</v>
      </c>
      <c r="F373" s="20">
        <v>6.1999999999999998E-3</v>
      </c>
    </row>
    <row r="374" spans="1:6" x14ac:dyDescent="0.35">
      <c r="A374" s="16">
        <v>21</v>
      </c>
      <c r="B374" s="16" t="s">
        <v>124</v>
      </c>
      <c r="C374" s="16">
        <v>42.16</v>
      </c>
      <c r="D374" s="18">
        <v>3.5000000000000001E-3</v>
      </c>
      <c r="E374" s="17">
        <v>5760.84</v>
      </c>
      <c r="F374" s="18">
        <v>3.2000000000000002E-3</v>
      </c>
    </row>
    <row r="375" spans="1:6" x14ac:dyDescent="0.35">
      <c r="A375" s="19">
        <v>22</v>
      </c>
      <c r="B375" s="19" t="s">
        <v>125</v>
      </c>
      <c r="C375" s="19">
        <v>39.71</v>
      </c>
      <c r="D375" s="20">
        <v>3.3E-3</v>
      </c>
      <c r="E375" s="21">
        <v>6135.21</v>
      </c>
      <c r="F375" s="20">
        <v>3.3999999999999998E-3</v>
      </c>
    </row>
    <row r="376" spans="1:6" x14ac:dyDescent="0.35">
      <c r="A376" s="16">
        <v>23</v>
      </c>
      <c r="B376" s="16" t="s">
        <v>126</v>
      </c>
      <c r="C376" s="16">
        <v>27.96</v>
      </c>
      <c r="D376" s="18">
        <v>2.3E-3</v>
      </c>
      <c r="E376" s="17">
        <v>4110.01</v>
      </c>
      <c r="F376" s="18">
        <v>2.3E-3</v>
      </c>
    </row>
    <row r="377" spans="1:6" x14ac:dyDescent="0.35">
      <c r="A377" s="19">
        <v>24</v>
      </c>
      <c r="B377" s="19" t="s">
        <v>127</v>
      </c>
      <c r="C377" s="19">
        <v>20.47</v>
      </c>
      <c r="D377" s="20">
        <v>1.6999999999999999E-3</v>
      </c>
      <c r="E377" s="21">
        <v>2737.91</v>
      </c>
      <c r="F377" s="20">
        <v>1.5E-3</v>
      </c>
    </row>
    <row r="378" spans="1:6" x14ac:dyDescent="0.35">
      <c r="A378" s="16">
        <v>25</v>
      </c>
      <c r="B378" s="16" t="s">
        <v>128</v>
      </c>
      <c r="C378" s="16">
        <v>12.87</v>
      </c>
      <c r="D378" s="18">
        <v>1.1000000000000001E-3</v>
      </c>
      <c r="E378" s="17">
        <v>1834.69</v>
      </c>
      <c r="F378" s="18">
        <v>1E-3</v>
      </c>
    </row>
    <row r="379" spans="1:6" ht="20" x14ac:dyDescent="0.35">
      <c r="A379" s="19">
        <v>26</v>
      </c>
      <c r="B379" s="19" t="s">
        <v>130</v>
      </c>
      <c r="C379" s="19">
        <v>11.55</v>
      </c>
      <c r="D379" s="20">
        <v>1E-3</v>
      </c>
      <c r="E379" s="21">
        <v>1937.35</v>
      </c>
      <c r="F379" s="20">
        <v>1.1000000000000001E-3</v>
      </c>
    </row>
    <row r="380" spans="1:6" x14ac:dyDescent="0.35">
      <c r="A380" s="16">
        <v>27</v>
      </c>
      <c r="B380" s="16" t="s">
        <v>132</v>
      </c>
      <c r="C380" s="16">
        <v>8.26</v>
      </c>
      <c r="D380" s="18">
        <v>6.9999999999999999E-4</v>
      </c>
      <c r="E380" s="17">
        <v>1381.1</v>
      </c>
      <c r="F380" s="18">
        <v>8.0000000000000004E-4</v>
      </c>
    </row>
    <row r="381" spans="1:6" ht="20" x14ac:dyDescent="0.35">
      <c r="A381" s="19">
        <v>28</v>
      </c>
      <c r="B381" s="19" t="s">
        <v>131</v>
      </c>
      <c r="C381" s="19">
        <v>8.2200000000000006</v>
      </c>
      <c r="D381" s="20">
        <v>6.9999999999999999E-4</v>
      </c>
      <c r="E381" s="19">
        <v>907.49</v>
      </c>
      <c r="F381" s="20">
        <v>5.0000000000000001E-4</v>
      </c>
    </row>
    <row r="382" spans="1:6" x14ac:dyDescent="0.35">
      <c r="A382" s="16">
        <v>29</v>
      </c>
      <c r="B382" s="16" t="s">
        <v>133</v>
      </c>
      <c r="C382" s="16">
        <v>7.04</v>
      </c>
      <c r="D382" s="18">
        <v>5.9999999999999995E-4</v>
      </c>
      <c r="E382" s="17">
        <v>1341.47</v>
      </c>
      <c r="F382" s="18">
        <v>6.9999999999999999E-4</v>
      </c>
    </row>
    <row r="383" spans="1:6" x14ac:dyDescent="0.35">
      <c r="A383" s="19">
        <v>30</v>
      </c>
      <c r="B383" s="19" t="s">
        <v>129</v>
      </c>
      <c r="C383" s="19">
        <v>5.71</v>
      </c>
      <c r="D383" s="20">
        <v>5.0000000000000001E-4</v>
      </c>
      <c r="E383" s="21">
        <v>1630.29</v>
      </c>
      <c r="F383" s="20">
        <v>8.9999999999999998E-4</v>
      </c>
    </row>
    <row r="384" spans="1:6" x14ac:dyDescent="0.35">
      <c r="A384" s="16">
        <v>31</v>
      </c>
      <c r="B384" s="16" t="s">
        <v>134</v>
      </c>
      <c r="C384" s="16">
        <v>5.56</v>
      </c>
      <c r="D384" s="18">
        <v>5.0000000000000001E-4</v>
      </c>
      <c r="E384" s="17">
        <v>1401.33</v>
      </c>
      <c r="F384" s="18">
        <v>8.0000000000000004E-4</v>
      </c>
    </row>
    <row r="385" spans="1:6" x14ac:dyDescent="0.35">
      <c r="A385" s="19">
        <v>32</v>
      </c>
      <c r="B385" s="19" t="s">
        <v>136</v>
      </c>
      <c r="C385" s="19">
        <v>5.49</v>
      </c>
      <c r="D385" s="20">
        <v>5.0000000000000001E-4</v>
      </c>
      <c r="E385" s="21">
        <v>1217.18</v>
      </c>
      <c r="F385" s="20">
        <v>6.9999999999999999E-4</v>
      </c>
    </row>
    <row r="386" spans="1:6" x14ac:dyDescent="0.35">
      <c r="A386" s="16">
        <v>33</v>
      </c>
      <c r="B386" s="16" t="s">
        <v>135</v>
      </c>
      <c r="C386" s="16">
        <v>4.59</v>
      </c>
      <c r="D386" s="18">
        <v>4.0000000000000002E-4</v>
      </c>
      <c r="E386" s="16">
        <v>806.34</v>
      </c>
      <c r="F386" s="18">
        <v>4.0000000000000002E-4</v>
      </c>
    </row>
    <row r="387" spans="1:6" x14ac:dyDescent="0.35">
      <c r="A387" s="19">
        <v>34</v>
      </c>
      <c r="B387" s="19" t="s">
        <v>137</v>
      </c>
      <c r="C387" s="19">
        <v>2.64</v>
      </c>
      <c r="D387" s="20">
        <v>2.0000000000000001E-4</v>
      </c>
      <c r="E387" s="19">
        <v>491.18</v>
      </c>
      <c r="F387" s="20">
        <v>2.9999999999999997E-4</v>
      </c>
    </row>
    <row r="388" spans="1:6" x14ac:dyDescent="0.35">
      <c r="A388" s="16">
        <v>35</v>
      </c>
      <c r="B388" s="16" t="s">
        <v>138</v>
      </c>
      <c r="C388" s="16">
        <v>1.74</v>
      </c>
      <c r="D388" s="18">
        <v>1E-4</v>
      </c>
      <c r="E388" s="16">
        <v>368.7</v>
      </c>
      <c r="F388" s="18">
        <v>2.0000000000000001E-4</v>
      </c>
    </row>
    <row r="389" spans="1:6" x14ac:dyDescent="0.35">
      <c r="A389" s="19">
        <v>36</v>
      </c>
      <c r="B389" s="19" t="s">
        <v>139</v>
      </c>
      <c r="C389" s="19">
        <v>0.25</v>
      </c>
      <c r="D389" s="20">
        <v>0</v>
      </c>
      <c r="E389" s="19">
        <v>36.4</v>
      </c>
      <c r="F389" s="20">
        <v>0</v>
      </c>
    </row>
    <row r="390" spans="1:6" x14ac:dyDescent="0.35">
      <c r="A390" s="16">
        <v>37</v>
      </c>
      <c r="B390" s="16" t="s">
        <v>140</v>
      </c>
      <c r="C390" s="17">
        <v>3172.83</v>
      </c>
      <c r="D390" s="18">
        <v>0.26400000000000001</v>
      </c>
      <c r="E390" s="16">
        <v>475524.96</v>
      </c>
      <c r="F390" s="18">
        <v>0.26090000000000002</v>
      </c>
    </row>
    <row r="393" spans="1:6" ht="15" thickBot="1" x14ac:dyDescent="0.4">
      <c r="B393" s="23">
        <v>45292</v>
      </c>
    </row>
    <row r="394" spans="1:6" x14ac:dyDescent="0.35">
      <c r="A394" s="31" t="s">
        <v>98</v>
      </c>
      <c r="B394" s="31" t="s">
        <v>99</v>
      </c>
      <c r="C394" s="31" t="s">
        <v>100</v>
      </c>
      <c r="D394" s="31" t="s">
        <v>101</v>
      </c>
      <c r="E394" s="31" t="s">
        <v>102</v>
      </c>
      <c r="F394" s="31" t="s">
        <v>103</v>
      </c>
    </row>
    <row r="395" spans="1:6" ht="15" thickBot="1" x14ac:dyDescent="0.4">
      <c r="A395" s="32"/>
      <c r="B395" s="32"/>
      <c r="C395" s="32"/>
      <c r="D395" s="32"/>
      <c r="E395" s="32"/>
      <c r="F395" s="32"/>
    </row>
    <row r="396" spans="1:6" x14ac:dyDescent="0.35">
      <c r="A396" s="16">
        <v>1</v>
      </c>
      <c r="B396" s="16" t="s">
        <v>104</v>
      </c>
      <c r="C396" s="17">
        <v>1729.3</v>
      </c>
      <c r="D396" s="18">
        <v>0.14169999999999999</v>
      </c>
      <c r="E396" s="16">
        <v>230102.34</v>
      </c>
      <c r="F396" s="18">
        <v>0.125</v>
      </c>
    </row>
    <row r="397" spans="1:6" x14ac:dyDescent="0.35">
      <c r="A397" s="19">
        <v>2</v>
      </c>
      <c r="B397" s="19" t="s">
        <v>105</v>
      </c>
      <c r="C397" s="19">
        <v>987.74</v>
      </c>
      <c r="D397" s="20">
        <v>8.09E-2</v>
      </c>
      <c r="E397" s="19">
        <v>136780.78</v>
      </c>
      <c r="F397" s="20">
        <v>7.4300000000000005E-2</v>
      </c>
    </row>
    <row r="398" spans="1:6" x14ac:dyDescent="0.35">
      <c r="A398" s="16">
        <v>3</v>
      </c>
      <c r="B398" s="16" t="s">
        <v>107</v>
      </c>
      <c r="C398" s="16">
        <v>821.19</v>
      </c>
      <c r="D398" s="18">
        <v>6.7299999999999999E-2</v>
      </c>
      <c r="E398" s="16">
        <v>118540.28</v>
      </c>
      <c r="F398" s="18">
        <v>6.4399999999999999E-2</v>
      </c>
    </row>
    <row r="399" spans="1:6" x14ac:dyDescent="0.35">
      <c r="A399" s="19">
        <v>4</v>
      </c>
      <c r="B399" s="19" t="s">
        <v>106</v>
      </c>
      <c r="C399" s="19">
        <v>736.18</v>
      </c>
      <c r="D399" s="20">
        <v>6.0299999999999999E-2</v>
      </c>
      <c r="E399" s="19">
        <v>123049.67</v>
      </c>
      <c r="F399" s="20">
        <v>6.6799999999999998E-2</v>
      </c>
    </row>
    <row r="400" spans="1:6" x14ac:dyDescent="0.35">
      <c r="A400" s="16">
        <v>5</v>
      </c>
      <c r="B400" s="16" t="s">
        <v>108</v>
      </c>
      <c r="C400" s="16">
        <v>551.15</v>
      </c>
      <c r="D400" s="18">
        <v>4.5199999999999997E-2</v>
      </c>
      <c r="E400" s="17">
        <v>88612.57</v>
      </c>
      <c r="F400" s="18">
        <v>4.8099999999999997E-2</v>
      </c>
    </row>
    <row r="401" spans="1:6" x14ac:dyDescent="0.35">
      <c r="A401" s="19">
        <v>6</v>
      </c>
      <c r="B401" s="19" t="s">
        <v>109</v>
      </c>
      <c r="C401" s="19">
        <v>506.55</v>
      </c>
      <c r="D401" s="20">
        <v>4.1500000000000002E-2</v>
      </c>
      <c r="E401" s="21">
        <v>81026.02</v>
      </c>
      <c r="F401" s="20">
        <v>4.3999999999999997E-2</v>
      </c>
    </row>
    <row r="402" spans="1:6" x14ac:dyDescent="0.35">
      <c r="A402" s="16">
        <v>7</v>
      </c>
      <c r="B402" s="16" t="s">
        <v>113</v>
      </c>
      <c r="C402" s="16">
        <v>465.48</v>
      </c>
      <c r="D402" s="18">
        <v>3.8100000000000002E-2</v>
      </c>
      <c r="E402" s="17">
        <v>90296.94</v>
      </c>
      <c r="F402" s="18">
        <v>4.9000000000000002E-2</v>
      </c>
    </row>
    <row r="403" spans="1:6" x14ac:dyDescent="0.35">
      <c r="A403" s="19">
        <v>8</v>
      </c>
      <c r="B403" s="19" t="s">
        <v>110</v>
      </c>
      <c r="C403" s="19">
        <v>451.9</v>
      </c>
      <c r="D403" s="20">
        <v>3.6999999999999998E-2</v>
      </c>
      <c r="E403" s="21">
        <v>62297.59</v>
      </c>
      <c r="F403" s="20">
        <v>3.3799999999999997E-2</v>
      </c>
    </row>
    <row r="404" spans="1:6" x14ac:dyDescent="0.35">
      <c r="A404" s="16">
        <v>9</v>
      </c>
      <c r="B404" s="16" t="s">
        <v>111</v>
      </c>
      <c r="C404" s="16">
        <v>393.65</v>
      </c>
      <c r="D404" s="18">
        <v>3.2300000000000002E-2</v>
      </c>
      <c r="E404" s="17">
        <v>53572.83</v>
      </c>
      <c r="F404" s="18">
        <v>2.9100000000000001E-2</v>
      </c>
    </row>
    <row r="405" spans="1:6" x14ac:dyDescent="0.35">
      <c r="A405" s="19">
        <v>10</v>
      </c>
      <c r="B405" s="19" t="s">
        <v>112</v>
      </c>
      <c r="C405" s="19">
        <v>376.73</v>
      </c>
      <c r="D405" s="20">
        <v>3.09E-2</v>
      </c>
      <c r="E405" s="21">
        <v>62424.28</v>
      </c>
      <c r="F405" s="20">
        <v>3.39E-2</v>
      </c>
    </row>
    <row r="406" spans="1:6" x14ac:dyDescent="0.35">
      <c r="A406" s="16">
        <v>11</v>
      </c>
      <c r="B406" s="16" t="s">
        <v>114</v>
      </c>
      <c r="C406" s="16">
        <v>359.24</v>
      </c>
      <c r="D406" s="18">
        <v>2.9399999999999999E-2</v>
      </c>
      <c r="E406" s="17">
        <v>57546.14</v>
      </c>
      <c r="F406" s="18">
        <v>3.1300000000000001E-2</v>
      </c>
    </row>
    <row r="407" spans="1:6" x14ac:dyDescent="0.35">
      <c r="A407" s="19">
        <v>12</v>
      </c>
      <c r="B407" s="19" t="s">
        <v>115</v>
      </c>
      <c r="C407" s="19">
        <v>334</v>
      </c>
      <c r="D407" s="20">
        <v>2.7400000000000001E-2</v>
      </c>
      <c r="E407" s="21">
        <v>57876.9</v>
      </c>
      <c r="F407" s="20">
        <v>3.1399999999999997E-2</v>
      </c>
    </row>
    <row r="408" spans="1:6" x14ac:dyDescent="0.35">
      <c r="A408" s="16">
        <v>13</v>
      </c>
      <c r="B408" s="16" t="s">
        <v>116</v>
      </c>
      <c r="C408" s="16">
        <v>302.68</v>
      </c>
      <c r="D408" s="18">
        <v>2.4799999999999999E-2</v>
      </c>
      <c r="E408" s="17">
        <v>46875.26</v>
      </c>
      <c r="F408" s="18">
        <v>2.5499999999999998E-2</v>
      </c>
    </row>
    <row r="409" spans="1:6" x14ac:dyDescent="0.35">
      <c r="A409" s="19">
        <v>14</v>
      </c>
      <c r="B409" s="19" t="s">
        <v>117</v>
      </c>
      <c r="C409" s="19">
        <v>282</v>
      </c>
      <c r="D409" s="20">
        <v>2.3099999999999999E-2</v>
      </c>
      <c r="E409" s="21">
        <v>40654.71</v>
      </c>
      <c r="F409" s="20">
        <v>2.2100000000000002E-2</v>
      </c>
    </row>
    <row r="410" spans="1:6" x14ac:dyDescent="0.35">
      <c r="A410" s="16">
        <v>15</v>
      </c>
      <c r="B410" s="16" t="s">
        <v>118</v>
      </c>
      <c r="C410" s="16">
        <v>259.26</v>
      </c>
      <c r="D410" s="18">
        <v>2.12E-2</v>
      </c>
      <c r="E410" s="17">
        <v>37962.410000000003</v>
      </c>
      <c r="F410" s="18">
        <v>2.06E-2</v>
      </c>
    </row>
    <row r="411" spans="1:6" x14ac:dyDescent="0.35">
      <c r="A411" s="19">
        <v>16</v>
      </c>
      <c r="B411" s="19" t="s">
        <v>119</v>
      </c>
      <c r="C411" s="19">
        <v>154.33000000000001</v>
      </c>
      <c r="D411" s="20">
        <v>1.26E-2</v>
      </c>
      <c r="E411" s="21">
        <v>28653.41</v>
      </c>
      <c r="F411" s="20">
        <v>1.5599999999999999E-2</v>
      </c>
    </row>
    <row r="412" spans="1:6" x14ac:dyDescent="0.35">
      <c r="A412" s="16">
        <v>17</v>
      </c>
      <c r="B412" s="16" t="s">
        <v>120</v>
      </c>
      <c r="C412" s="16">
        <v>137.13999999999999</v>
      </c>
      <c r="D412" s="18">
        <v>1.12E-2</v>
      </c>
      <c r="E412" s="17">
        <v>19328.2</v>
      </c>
      <c r="F412" s="18">
        <v>1.0500000000000001E-2</v>
      </c>
    </row>
    <row r="413" spans="1:6" x14ac:dyDescent="0.35">
      <c r="A413" s="19">
        <v>18</v>
      </c>
      <c r="B413" s="19" t="s">
        <v>121</v>
      </c>
      <c r="C413" s="19">
        <v>130.05000000000001</v>
      </c>
      <c r="D413" s="20">
        <v>1.0699999999999999E-2</v>
      </c>
      <c r="E413" s="21">
        <v>19230.38</v>
      </c>
      <c r="F413" s="20">
        <v>1.04E-2</v>
      </c>
    </row>
    <row r="414" spans="1:6" x14ac:dyDescent="0.35">
      <c r="A414" s="16">
        <v>19</v>
      </c>
      <c r="B414" s="16" t="s">
        <v>123</v>
      </c>
      <c r="C414" s="16">
        <v>112.52</v>
      </c>
      <c r="D414" s="18">
        <v>9.1999999999999998E-3</v>
      </c>
      <c r="E414" s="17">
        <v>15870.58</v>
      </c>
      <c r="F414" s="18">
        <v>8.6E-3</v>
      </c>
    </row>
    <row r="415" spans="1:6" x14ac:dyDescent="0.35">
      <c r="A415" s="19">
        <v>20</v>
      </c>
      <c r="B415" s="19" t="s">
        <v>122</v>
      </c>
      <c r="C415" s="19">
        <v>85.68</v>
      </c>
      <c r="D415" s="20">
        <v>7.0000000000000001E-3</v>
      </c>
      <c r="E415" s="21">
        <v>11783.03</v>
      </c>
      <c r="F415" s="20">
        <v>6.4000000000000003E-3</v>
      </c>
    </row>
    <row r="416" spans="1:6" x14ac:dyDescent="0.35">
      <c r="A416" s="16">
        <v>21</v>
      </c>
      <c r="B416" s="16" t="s">
        <v>125</v>
      </c>
      <c r="C416" s="16">
        <v>43.49</v>
      </c>
      <c r="D416" s="18">
        <v>3.5999999999999999E-3</v>
      </c>
      <c r="E416" s="17">
        <v>6368.15</v>
      </c>
      <c r="F416" s="18">
        <v>3.5000000000000001E-3</v>
      </c>
    </row>
    <row r="417" spans="1:6" x14ac:dyDescent="0.35">
      <c r="A417" s="19">
        <v>22</v>
      </c>
      <c r="B417" s="19" t="s">
        <v>124</v>
      </c>
      <c r="C417" s="19">
        <v>41.92</v>
      </c>
      <c r="D417" s="20">
        <v>3.3999999999999998E-3</v>
      </c>
      <c r="E417" s="21">
        <v>5787.9</v>
      </c>
      <c r="F417" s="20">
        <v>3.0999999999999999E-3</v>
      </c>
    </row>
    <row r="418" spans="1:6" x14ac:dyDescent="0.35">
      <c r="A418" s="16">
        <v>23</v>
      </c>
      <c r="B418" s="16" t="s">
        <v>126</v>
      </c>
      <c r="C418" s="16">
        <v>29.59</v>
      </c>
      <c r="D418" s="18">
        <v>2.3999999999999998E-3</v>
      </c>
      <c r="E418" s="17">
        <v>4317.6899999999996</v>
      </c>
      <c r="F418" s="18">
        <v>2.3E-3</v>
      </c>
    </row>
    <row r="419" spans="1:6" x14ac:dyDescent="0.35">
      <c r="A419" s="19">
        <v>24</v>
      </c>
      <c r="B419" s="19" t="s">
        <v>127</v>
      </c>
      <c r="C419" s="19">
        <v>20.64</v>
      </c>
      <c r="D419" s="20">
        <v>1.6999999999999999E-3</v>
      </c>
      <c r="E419" s="21">
        <v>2843.49</v>
      </c>
      <c r="F419" s="20">
        <v>1.5E-3</v>
      </c>
    </row>
    <row r="420" spans="1:6" x14ac:dyDescent="0.35">
      <c r="A420" s="16">
        <v>25</v>
      </c>
      <c r="B420" s="16" t="s">
        <v>128</v>
      </c>
      <c r="C420" s="16">
        <v>13.25</v>
      </c>
      <c r="D420" s="18">
        <v>1.1000000000000001E-3</v>
      </c>
      <c r="E420" s="17">
        <v>1889.21</v>
      </c>
      <c r="F420" s="18">
        <v>1E-3</v>
      </c>
    </row>
    <row r="421" spans="1:6" ht="20" x14ac:dyDescent="0.35">
      <c r="A421" s="19">
        <v>26</v>
      </c>
      <c r="B421" s="19" t="s">
        <v>130</v>
      </c>
      <c r="C421" s="19">
        <v>11.25</v>
      </c>
      <c r="D421" s="20">
        <v>8.9999999999999998E-4</v>
      </c>
      <c r="E421" s="21">
        <v>1838.79</v>
      </c>
      <c r="F421" s="20">
        <v>1E-3</v>
      </c>
    </row>
    <row r="422" spans="1:6" x14ac:dyDescent="0.35">
      <c r="A422" s="16">
        <v>27</v>
      </c>
      <c r="B422" s="16" t="s">
        <v>132</v>
      </c>
      <c r="C422" s="16">
        <v>8.93</v>
      </c>
      <c r="D422" s="18">
        <v>6.9999999999999999E-4</v>
      </c>
      <c r="E422" s="17">
        <v>1475.69</v>
      </c>
      <c r="F422" s="18">
        <v>8.0000000000000004E-4</v>
      </c>
    </row>
    <row r="423" spans="1:6" ht="20" x14ac:dyDescent="0.35">
      <c r="A423" s="19">
        <v>28</v>
      </c>
      <c r="B423" s="19" t="s">
        <v>131</v>
      </c>
      <c r="C423" s="19">
        <v>8.6999999999999993</v>
      </c>
      <c r="D423" s="20">
        <v>6.9999999999999999E-4</v>
      </c>
      <c r="E423" s="19">
        <v>952.91</v>
      </c>
      <c r="F423" s="20">
        <v>5.0000000000000001E-4</v>
      </c>
    </row>
    <row r="424" spans="1:6" x14ac:dyDescent="0.35">
      <c r="A424" s="16">
        <v>29</v>
      </c>
      <c r="B424" s="16" t="s">
        <v>133</v>
      </c>
      <c r="C424" s="16">
        <v>6.53</v>
      </c>
      <c r="D424" s="18">
        <v>5.0000000000000001E-4</v>
      </c>
      <c r="E424" s="17">
        <v>1178.3800000000001</v>
      </c>
      <c r="F424" s="18">
        <v>5.9999999999999995E-4</v>
      </c>
    </row>
    <row r="425" spans="1:6" x14ac:dyDescent="0.35">
      <c r="A425" s="19">
        <v>30</v>
      </c>
      <c r="B425" s="19" t="s">
        <v>129</v>
      </c>
      <c r="C425" s="19">
        <v>6.47</v>
      </c>
      <c r="D425" s="20">
        <v>5.0000000000000001E-4</v>
      </c>
      <c r="E425" s="21">
        <v>1730.66</v>
      </c>
      <c r="F425" s="20">
        <v>8.9999999999999998E-4</v>
      </c>
    </row>
    <row r="426" spans="1:6" x14ac:dyDescent="0.35">
      <c r="A426" s="16">
        <v>31</v>
      </c>
      <c r="B426" s="16" t="s">
        <v>134</v>
      </c>
      <c r="C426" s="16">
        <v>5.33</v>
      </c>
      <c r="D426" s="18">
        <v>4.0000000000000002E-4</v>
      </c>
      <c r="E426" s="17">
        <v>1259.0999999999999</v>
      </c>
      <c r="F426" s="18">
        <v>6.9999999999999999E-4</v>
      </c>
    </row>
    <row r="427" spans="1:6" x14ac:dyDescent="0.35">
      <c r="A427" s="19">
        <v>32</v>
      </c>
      <c r="B427" s="19" t="s">
        <v>136</v>
      </c>
      <c r="C427" s="19">
        <v>5.23</v>
      </c>
      <c r="D427" s="20">
        <v>4.0000000000000002E-4</v>
      </c>
      <c r="E427" s="21">
        <v>1092.04</v>
      </c>
      <c r="F427" s="20">
        <v>5.9999999999999995E-4</v>
      </c>
    </row>
    <row r="428" spans="1:6" x14ac:dyDescent="0.35">
      <c r="A428" s="16">
        <v>33</v>
      </c>
      <c r="B428" s="16" t="s">
        <v>135</v>
      </c>
      <c r="C428" s="16">
        <v>4.58</v>
      </c>
      <c r="D428" s="18">
        <v>4.0000000000000002E-4</v>
      </c>
      <c r="E428" s="16">
        <v>786.07</v>
      </c>
      <c r="F428" s="18">
        <v>4.0000000000000002E-4</v>
      </c>
    </row>
    <row r="429" spans="1:6" x14ac:dyDescent="0.35">
      <c r="A429" s="19">
        <v>34</v>
      </c>
      <c r="B429" s="19" t="s">
        <v>137</v>
      </c>
      <c r="C429" s="19">
        <v>2.65</v>
      </c>
      <c r="D429" s="20">
        <v>2.0000000000000001E-4</v>
      </c>
      <c r="E429" s="19">
        <v>493.51</v>
      </c>
      <c r="F429" s="20">
        <v>2.9999999999999997E-4</v>
      </c>
    </row>
    <row r="430" spans="1:6" x14ac:dyDescent="0.35">
      <c r="A430" s="16">
        <v>35</v>
      </c>
      <c r="B430" s="16" t="s">
        <v>138</v>
      </c>
      <c r="C430" s="16">
        <v>1.73</v>
      </c>
      <c r="D430" s="18">
        <v>1E-4</v>
      </c>
      <c r="E430" s="16">
        <v>345.77</v>
      </c>
      <c r="F430" s="18">
        <v>2.0000000000000001E-4</v>
      </c>
    </row>
    <row r="431" spans="1:6" x14ac:dyDescent="0.35">
      <c r="A431" s="19">
        <v>36</v>
      </c>
      <c r="B431" s="19" t="s">
        <v>139</v>
      </c>
      <c r="C431" s="19">
        <v>0.28000000000000003</v>
      </c>
      <c r="D431" s="20">
        <v>0</v>
      </c>
      <c r="E431" s="19">
        <v>41.42</v>
      </c>
      <c r="F431" s="20">
        <v>0</v>
      </c>
    </row>
    <row r="432" spans="1:6" x14ac:dyDescent="0.35">
      <c r="A432" s="16">
        <v>37</v>
      </c>
      <c r="B432" s="16" t="s">
        <v>140</v>
      </c>
      <c r="C432" s="17">
        <v>2815.68</v>
      </c>
      <c r="D432" s="18">
        <v>0.23069999999999999</v>
      </c>
      <c r="E432" s="16">
        <v>426198.87</v>
      </c>
      <c r="F432" s="18">
        <v>0.23150000000000001</v>
      </c>
    </row>
    <row r="435" spans="1:6" ht="15" thickBot="1" x14ac:dyDescent="0.4">
      <c r="B435" s="22">
        <v>45323</v>
      </c>
    </row>
    <row r="436" spans="1:6" x14ac:dyDescent="0.35">
      <c r="A436" s="31" t="s">
        <v>98</v>
      </c>
      <c r="B436" s="31" t="s">
        <v>99</v>
      </c>
      <c r="C436" s="31" t="s">
        <v>100</v>
      </c>
      <c r="D436" s="31" t="s">
        <v>101</v>
      </c>
      <c r="E436" s="31" t="s">
        <v>102</v>
      </c>
      <c r="F436" s="31" t="s">
        <v>103</v>
      </c>
    </row>
    <row r="437" spans="1:6" ht="15" thickBot="1" x14ac:dyDescent="0.4">
      <c r="A437" s="32"/>
      <c r="B437" s="32"/>
      <c r="C437" s="32"/>
      <c r="D437" s="32"/>
      <c r="E437" s="32"/>
      <c r="F437" s="32"/>
    </row>
    <row r="438" spans="1:6" x14ac:dyDescent="0.35">
      <c r="A438" s="16">
        <v>1</v>
      </c>
      <c r="B438" s="16" t="s">
        <v>104</v>
      </c>
      <c r="C438" s="17">
        <v>1738.47</v>
      </c>
      <c r="D438" s="18">
        <v>0.14360000000000001</v>
      </c>
      <c r="E438" s="16">
        <v>231170.06</v>
      </c>
      <c r="F438" s="18">
        <v>0.1265</v>
      </c>
    </row>
    <row r="439" spans="1:6" x14ac:dyDescent="0.35">
      <c r="A439" s="19">
        <v>2</v>
      </c>
      <c r="B439" s="19" t="s">
        <v>105</v>
      </c>
      <c r="C439" s="21">
        <v>1038.5899999999999</v>
      </c>
      <c r="D439" s="20">
        <v>8.5800000000000001E-2</v>
      </c>
      <c r="E439" s="19">
        <v>144752.39000000001</v>
      </c>
      <c r="F439" s="20">
        <v>7.9200000000000007E-2</v>
      </c>
    </row>
    <row r="440" spans="1:6" x14ac:dyDescent="0.35">
      <c r="A440" s="16">
        <v>3</v>
      </c>
      <c r="B440" s="16" t="s">
        <v>107</v>
      </c>
      <c r="C440" s="16">
        <v>877.83</v>
      </c>
      <c r="D440" s="18">
        <v>7.2499999999999995E-2</v>
      </c>
      <c r="E440" s="16">
        <v>130330.17</v>
      </c>
      <c r="F440" s="18">
        <v>7.1300000000000002E-2</v>
      </c>
    </row>
    <row r="441" spans="1:6" x14ac:dyDescent="0.35">
      <c r="A441" s="19">
        <v>4</v>
      </c>
      <c r="B441" s="19" t="s">
        <v>106</v>
      </c>
      <c r="C441" s="19">
        <v>799.49</v>
      </c>
      <c r="D441" s="20">
        <v>6.6100000000000006E-2</v>
      </c>
      <c r="E441" s="19">
        <v>131906.82999999999</v>
      </c>
      <c r="F441" s="20">
        <v>7.22E-2</v>
      </c>
    </row>
    <row r="442" spans="1:6" x14ac:dyDescent="0.35">
      <c r="A442" s="16">
        <v>5</v>
      </c>
      <c r="B442" s="16" t="s">
        <v>108</v>
      </c>
      <c r="C442" s="16">
        <v>592.63</v>
      </c>
      <c r="D442" s="18">
        <v>4.9000000000000002E-2</v>
      </c>
      <c r="E442" s="17">
        <v>95903.84</v>
      </c>
      <c r="F442" s="18">
        <v>5.2499999999999998E-2</v>
      </c>
    </row>
    <row r="443" spans="1:6" x14ac:dyDescent="0.35">
      <c r="A443" s="19">
        <v>6</v>
      </c>
      <c r="B443" s="19" t="s">
        <v>109</v>
      </c>
      <c r="C443" s="19">
        <v>540.32000000000005</v>
      </c>
      <c r="D443" s="20">
        <v>4.4600000000000001E-2</v>
      </c>
      <c r="E443" s="21">
        <v>86997.16</v>
      </c>
      <c r="F443" s="20">
        <v>4.7600000000000003E-2</v>
      </c>
    </row>
    <row r="444" spans="1:6" x14ac:dyDescent="0.35">
      <c r="A444" s="16">
        <v>7</v>
      </c>
      <c r="B444" s="16" t="s">
        <v>110</v>
      </c>
      <c r="C444" s="16">
        <v>493.37</v>
      </c>
      <c r="D444" s="18">
        <v>4.0800000000000003E-2</v>
      </c>
      <c r="E444" s="17">
        <v>68550.320000000007</v>
      </c>
      <c r="F444" s="18">
        <v>3.7499999999999999E-2</v>
      </c>
    </row>
    <row r="445" spans="1:6" x14ac:dyDescent="0.35">
      <c r="A445" s="19">
        <v>8</v>
      </c>
      <c r="B445" s="19" t="s">
        <v>113</v>
      </c>
      <c r="C445" s="19">
        <v>462.35</v>
      </c>
      <c r="D445" s="20">
        <v>3.8199999999999998E-2</v>
      </c>
      <c r="E445" s="21">
        <v>88395.93</v>
      </c>
      <c r="F445" s="20">
        <v>4.8399999999999999E-2</v>
      </c>
    </row>
    <row r="446" spans="1:6" x14ac:dyDescent="0.35">
      <c r="A446" s="16">
        <v>9</v>
      </c>
      <c r="B446" s="16" t="s">
        <v>111</v>
      </c>
      <c r="C446" s="16">
        <v>423.75</v>
      </c>
      <c r="D446" s="18">
        <v>3.5000000000000003E-2</v>
      </c>
      <c r="E446" s="17">
        <v>57779.48</v>
      </c>
      <c r="F446" s="18">
        <v>3.1600000000000003E-2</v>
      </c>
    </row>
    <row r="447" spans="1:6" x14ac:dyDescent="0.35">
      <c r="A447" s="19">
        <v>10</v>
      </c>
      <c r="B447" s="19" t="s">
        <v>114</v>
      </c>
      <c r="C447" s="19">
        <v>400.48</v>
      </c>
      <c r="D447" s="20">
        <v>3.3099999999999997E-2</v>
      </c>
      <c r="E447" s="21">
        <v>65518.15</v>
      </c>
      <c r="F447" s="20">
        <v>3.5799999999999998E-2</v>
      </c>
    </row>
    <row r="448" spans="1:6" x14ac:dyDescent="0.35">
      <c r="A448" s="16">
        <v>11</v>
      </c>
      <c r="B448" s="16" t="s">
        <v>112</v>
      </c>
      <c r="C448" s="16">
        <v>392.48</v>
      </c>
      <c r="D448" s="18">
        <v>3.2399999999999998E-2</v>
      </c>
      <c r="E448" s="17">
        <v>65150.33</v>
      </c>
      <c r="F448" s="18">
        <v>3.56E-2</v>
      </c>
    </row>
    <row r="449" spans="1:6" x14ac:dyDescent="0.35">
      <c r="A449" s="19">
        <v>12</v>
      </c>
      <c r="B449" s="19" t="s">
        <v>115</v>
      </c>
      <c r="C449" s="19">
        <v>354.85</v>
      </c>
      <c r="D449" s="20">
        <v>2.93E-2</v>
      </c>
      <c r="E449" s="21">
        <v>61540.67</v>
      </c>
      <c r="F449" s="20">
        <v>3.3700000000000001E-2</v>
      </c>
    </row>
    <row r="450" spans="1:6" x14ac:dyDescent="0.35">
      <c r="A450" s="16">
        <v>13</v>
      </c>
      <c r="B450" s="16" t="s">
        <v>116</v>
      </c>
      <c r="C450" s="16">
        <v>298.64999999999998</v>
      </c>
      <c r="D450" s="18">
        <v>2.47E-2</v>
      </c>
      <c r="E450" s="17">
        <v>46490.93</v>
      </c>
      <c r="F450" s="18">
        <v>2.5399999999999999E-2</v>
      </c>
    </row>
    <row r="451" spans="1:6" x14ac:dyDescent="0.35">
      <c r="A451" s="19">
        <v>14</v>
      </c>
      <c r="B451" s="19" t="s">
        <v>117</v>
      </c>
      <c r="C451" s="19">
        <v>287.58999999999997</v>
      </c>
      <c r="D451" s="20">
        <v>2.3800000000000002E-2</v>
      </c>
      <c r="E451" s="21">
        <v>40495.11</v>
      </c>
      <c r="F451" s="20">
        <v>2.2200000000000001E-2</v>
      </c>
    </row>
    <row r="452" spans="1:6" x14ac:dyDescent="0.35">
      <c r="A452" s="16">
        <v>15</v>
      </c>
      <c r="B452" s="16" t="s">
        <v>118</v>
      </c>
      <c r="C452" s="16">
        <v>277.08</v>
      </c>
      <c r="D452" s="18">
        <v>2.29E-2</v>
      </c>
      <c r="E452" s="17">
        <v>40959.410000000003</v>
      </c>
      <c r="F452" s="18">
        <v>2.24E-2</v>
      </c>
    </row>
    <row r="453" spans="1:6" x14ac:dyDescent="0.35">
      <c r="A453" s="19">
        <v>16</v>
      </c>
      <c r="B453" s="19" t="s">
        <v>119</v>
      </c>
      <c r="C453" s="19">
        <v>160.29</v>
      </c>
      <c r="D453" s="20">
        <v>1.32E-2</v>
      </c>
      <c r="E453" s="21">
        <v>28920.21</v>
      </c>
      <c r="F453" s="20">
        <v>1.5800000000000002E-2</v>
      </c>
    </row>
    <row r="454" spans="1:6" x14ac:dyDescent="0.35">
      <c r="A454" s="16">
        <v>17</v>
      </c>
      <c r="B454" s="16" t="s">
        <v>121</v>
      </c>
      <c r="C454" s="16">
        <v>149.13999999999999</v>
      </c>
      <c r="D454" s="18">
        <v>1.23E-2</v>
      </c>
      <c r="E454" s="17">
        <v>21725.42</v>
      </c>
      <c r="F454" s="18">
        <v>1.1900000000000001E-2</v>
      </c>
    </row>
    <row r="455" spans="1:6" x14ac:dyDescent="0.35">
      <c r="A455" s="19">
        <v>18</v>
      </c>
      <c r="B455" s="19" t="s">
        <v>120</v>
      </c>
      <c r="C455" s="19">
        <v>141.46</v>
      </c>
      <c r="D455" s="20">
        <v>1.17E-2</v>
      </c>
      <c r="E455" s="21">
        <v>20410.18</v>
      </c>
      <c r="F455" s="20">
        <v>1.12E-2</v>
      </c>
    </row>
    <row r="456" spans="1:6" x14ac:dyDescent="0.35">
      <c r="A456" s="16">
        <v>19</v>
      </c>
      <c r="B456" s="16" t="s">
        <v>123</v>
      </c>
      <c r="C456" s="16">
        <v>115.6</v>
      </c>
      <c r="D456" s="18">
        <v>9.5999999999999992E-3</v>
      </c>
      <c r="E456" s="17">
        <v>16359.98</v>
      </c>
      <c r="F456" s="18">
        <v>8.9999999999999993E-3</v>
      </c>
    </row>
    <row r="457" spans="1:6" x14ac:dyDescent="0.35">
      <c r="A457" s="19">
        <v>20</v>
      </c>
      <c r="B457" s="19" t="s">
        <v>122</v>
      </c>
      <c r="C457" s="19">
        <v>84.78</v>
      </c>
      <c r="D457" s="20">
        <v>7.0000000000000001E-3</v>
      </c>
      <c r="E457" s="21">
        <v>11651.77</v>
      </c>
      <c r="F457" s="20">
        <v>6.4000000000000003E-3</v>
      </c>
    </row>
    <row r="458" spans="1:6" x14ac:dyDescent="0.35">
      <c r="A458" s="16">
        <v>21</v>
      </c>
      <c r="B458" s="16" t="s">
        <v>125</v>
      </c>
      <c r="C458" s="16">
        <v>45.24</v>
      </c>
      <c r="D458" s="18">
        <v>3.7000000000000002E-3</v>
      </c>
      <c r="E458" s="17">
        <v>6584.35</v>
      </c>
      <c r="F458" s="18">
        <v>3.5999999999999999E-3</v>
      </c>
    </row>
    <row r="459" spans="1:6" x14ac:dyDescent="0.35">
      <c r="A459" s="19">
        <v>22</v>
      </c>
      <c r="B459" s="19" t="s">
        <v>124</v>
      </c>
      <c r="C459" s="19">
        <v>42.98</v>
      </c>
      <c r="D459" s="20">
        <v>3.5999999999999999E-3</v>
      </c>
      <c r="E459" s="21">
        <v>5847.83</v>
      </c>
      <c r="F459" s="20">
        <v>3.2000000000000002E-3</v>
      </c>
    </row>
    <row r="460" spans="1:6" x14ac:dyDescent="0.35">
      <c r="A460" s="16">
        <v>23</v>
      </c>
      <c r="B460" s="16" t="s">
        <v>126</v>
      </c>
      <c r="C460" s="16">
        <v>29.94</v>
      </c>
      <c r="D460" s="18">
        <v>2.5000000000000001E-3</v>
      </c>
      <c r="E460" s="17">
        <v>4282.8599999999997</v>
      </c>
      <c r="F460" s="18">
        <v>2.3E-3</v>
      </c>
    </row>
    <row r="461" spans="1:6" x14ac:dyDescent="0.35">
      <c r="A461" s="19">
        <v>24</v>
      </c>
      <c r="B461" s="19" t="s">
        <v>127</v>
      </c>
      <c r="C461" s="19">
        <v>22.07</v>
      </c>
      <c r="D461" s="20">
        <v>1.8E-3</v>
      </c>
      <c r="E461" s="21">
        <v>3029.82</v>
      </c>
      <c r="F461" s="20">
        <v>1.6999999999999999E-3</v>
      </c>
    </row>
    <row r="462" spans="1:6" x14ac:dyDescent="0.35">
      <c r="A462" s="16">
        <v>25</v>
      </c>
      <c r="B462" s="16" t="s">
        <v>128</v>
      </c>
      <c r="C462" s="16">
        <v>13.58</v>
      </c>
      <c r="D462" s="18">
        <v>1.1000000000000001E-3</v>
      </c>
      <c r="E462" s="17">
        <v>1962.33</v>
      </c>
      <c r="F462" s="18">
        <v>1.1000000000000001E-3</v>
      </c>
    </row>
    <row r="463" spans="1:6" ht="20" x14ac:dyDescent="0.35">
      <c r="A463" s="19">
        <v>26</v>
      </c>
      <c r="B463" s="19" t="s">
        <v>130</v>
      </c>
      <c r="C463" s="19">
        <v>11.96</v>
      </c>
      <c r="D463" s="20">
        <v>1E-3</v>
      </c>
      <c r="E463" s="21">
        <v>1942.21</v>
      </c>
      <c r="F463" s="20">
        <v>1.1000000000000001E-3</v>
      </c>
    </row>
    <row r="464" spans="1:6" x14ac:dyDescent="0.35">
      <c r="A464" s="16">
        <v>27</v>
      </c>
      <c r="B464" s="16" t="s">
        <v>132</v>
      </c>
      <c r="C464" s="16">
        <v>10.15</v>
      </c>
      <c r="D464" s="18">
        <v>8.0000000000000004E-4</v>
      </c>
      <c r="E464" s="17">
        <v>1676.39</v>
      </c>
      <c r="F464" s="18">
        <v>8.9999999999999998E-4</v>
      </c>
    </row>
    <row r="465" spans="1:6" ht="20" x14ac:dyDescent="0.35">
      <c r="A465" s="19">
        <v>28</v>
      </c>
      <c r="B465" s="19" t="s">
        <v>131</v>
      </c>
      <c r="C465" s="19">
        <v>8.57</v>
      </c>
      <c r="D465" s="20">
        <v>6.9999999999999999E-4</v>
      </c>
      <c r="E465" s="19">
        <v>961.27</v>
      </c>
      <c r="F465" s="20">
        <v>5.0000000000000001E-4</v>
      </c>
    </row>
    <row r="466" spans="1:6" x14ac:dyDescent="0.35">
      <c r="A466" s="16">
        <v>29</v>
      </c>
      <c r="B466" s="16" t="s">
        <v>133</v>
      </c>
      <c r="C466" s="16">
        <v>7.73</v>
      </c>
      <c r="D466" s="18">
        <v>5.9999999999999995E-4</v>
      </c>
      <c r="E466" s="17">
        <v>1350.39</v>
      </c>
      <c r="F466" s="18">
        <v>6.9999999999999999E-4</v>
      </c>
    </row>
    <row r="467" spans="1:6" x14ac:dyDescent="0.35">
      <c r="A467" s="19">
        <v>30</v>
      </c>
      <c r="B467" s="19" t="s">
        <v>129</v>
      </c>
      <c r="C467" s="19">
        <v>6.41</v>
      </c>
      <c r="D467" s="20">
        <v>5.0000000000000001E-4</v>
      </c>
      <c r="E467" s="21">
        <v>1756.54</v>
      </c>
      <c r="F467" s="20">
        <v>1E-3</v>
      </c>
    </row>
    <row r="468" spans="1:6" x14ac:dyDescent="0.35">
      <c r="A468" s="16">
        <v>31</v>
      </c>
      <c r="B468" s="16" t="s">
        <v>134</v>
      </c>
      <c r="C468" s="16">
        <v>6.17</v>
      </c>
      <c r="D468" s="18">
        <v>5.0000000000000001E-4</v>
      </c>
      <c r="E468" s="17">
        <v>1402.9</v>
      </c>
      <c r="F468" s="18">
        <v>8.0000000000000004E-4</v>
      </c>
    </row>
    <row r="469" spans="1:6" x14ac:dyDescent="0.35">
      <c r="A469" s="19">
        <v>32</v>
      </c>
      <c r="B469" s="19" t="s">
        <v>136</v>
      </c>
      <c r="C469" s="19">
        <v>5.98</v>
      </c>
      <c r="D469" s="20">
        <v>5.0000000000000001E-4</v>
      </c>
      <c r="E469" s="21">
        <v>1229.93</v>
      </c>
      <c r="F469" s="20">
        <v>6.9999999999999999E-4</v>
      </c>
    </row>
    <row r="470" spans="1:6" x14ac:dyDescent="0.35">
      <c r="A470" s="16">
        <v>33</v>
      </c>
      <c r="B470" s="16" t="s">
        <v>135</v>
      </c>
      <c r="C470" s="16">
        <v>4.82</v>
      </c>
      <c r="D470" s="18">
        <v>4.0000000000000002E-4</v>
      </c>
      <c r="E470" s="16">
        <v>795.78</v>
      </c>
      <c r="F470" s="18">
        <v>4.0000000000000002E-4</v>
      </c>
    </row>
    <row r="471" spans="1:6" x14ac:dyDescent="0.35">
      <c r="A471" s="19">
        <v>34</v>
      </c>
      <c r="B471" s="19" t="s">
        <v>137</v>
      </c>
      <c r="C471" s="19">
        <v>2.63</v>
      </c>
      <c r="D471" s="20">
        <v>2.0000000000000001E-4</v>
      </c>
      <c r="E471" s="19">
        <v>488.59</v>
      </c>
      <c r="F471" s="20">
        <v>2.9999999999999997E-4</v>
      </c>
    </row>
    <row r="472" spans="1:6" x14ac:dyDescent="0.35">
      <c r="A472" s="16">
        <v>35</v>
      </c>
      <c r="B472" s="16" t="s">
        <v>138</v>
      </c>
      <c r="C472" s="16">
        <v>1.68</v>
      </c>
      <c r="D472" s="18">
        <v>1E-4</v>
      </c>
      <c r="E472" s="16">
        <v>339.04</v>
      </c>
      <c r="F472" s="18">
        <v>2.0000000000000001E-4</v>
      </c>
    </row>
    <row r="473" spans="1:6" x14ac:dyDescent="0.35">
      <c r="A473" s="19">
        <v>36</v>
      </c>
      <c r="B473" s="19" t="s">
        <v>139</v>
      </c>
      <c r="C473" s="19">
        <v>0.28999999999999998</v>
      </c>
      <c r="D473" s="20">
        <v>0</v>
      </c>
      <c r="E473" s="19">
        <v>40.119999999999997</v>
      </c>
      <c r="F473" s="20">
        <v>0</v>
      </c>
    </row>
    <row r="474" spans="1:6" x14ac:dyDescent="0.35">
      <c r="A474" s="16">
        <v>37</v>
      </c>
      <c r="B474" s="16" t="s">
        <v>140</v>
      </c>
      <c r="C474" s="17">
        <v>2253.2600000000002</v>
      </c>
      <c r="D474" s="18">
        <v>0.1862</v>
      </c>
      <c r="E474" s="16">
        <v>339170.69</v>
      </c>
      <c r="F474" s="18">
        <v>0.18559999999999999</v>
      </c>
    </row>
    <row r="477" spans="1:6" ht="15" thickBot="1" x14ac:dyDescent="0.4">
      <c r="B477" s="22">
        <v>45352</v>
      </c>
    </row>
    <row r="478" spans="1:6" x14ac:dyDescent="0.35">
      <c r="A478" s="31" t="s">
        <v>98</v>
      </c>
      <c r="B478" s="31" t="s">
        <v>99</v>
      </c>
      <c r="C478" s="31" t="s">
        <v>100</v>
      </c>
      <c r="D478" s="31" t="s">
        <v>101</v>
      </c>
      <c r="E478" s="31" t="s">
        <v>102</v>
      </c>
      <c r="F478" s="31" t="s">
        <v>103</v>
      </c>
    </row>
    <row r="479" spans="1:6" ht="15" thickBot="1" x14ac:dyDescent="0.4">
      <c r="A479" s="32"/>
      <c r="B479" s="32"/>
      <c r="C479" s="32"/>
      <c r="D479" s="32"/>
      <c r="E479" s="32"/>
      <c r="F479" s="32"/>
    </row>
    <row r="480" spans="1:6" x14ac:dyDescent="0.35">
      <c r="A480" s="16">
        <v>1</v>
      </c>
      <c r="B480" s="16" t="s">
        <v>104</v>
      </c>
      <c r="C480" s="17">
        <v>1826.53</v>
      </c>
      <c r="D480" s="18">
        <v>0.13589999999999999</v>
      </c>
      <c r="E480" s="16">
        <v>250484.52</v>
      </c>
      <c r="F480" s="18">
        <v>0.12659999999999999</v>
      </c>
    </row>
    <row r="481" spans="1:6" x14ac:dyDescent="0.35">
      <c r="A481" s="19">
        <v>2</v>
      </c>
      <c r="B481" s="19" t="s">
        <v>105</v>
      </c>
      <c r="C481" s="21">
        <v>1142.17</v>
      </c>
      <c r="D481" s="20">
        <v>8.5000000000000006E-2</v>
      </c>
      <c r="E481" s="19">
        <v>156929.06</v>
      </c>
      <c r="F481" s="20">
        <v>7.9299999999999995E-2</v>
      </c>
    </row>
    <row r="482" spans="1:6" x14ac:dyDescent="0.35">
      <c r="A482" s="16">
        <v>3</v>
      </c>
      <c r="B482" s="16" t="s">
        <v>107</v>
      </c>
      <c r="C482" s="17">
        <v>1000.03</v>
      </c>
      <c r="D482" s="18">
        <v>7.4399999999999994E-2</v>
      </c>
      <c r="E482" s="16">
        <v>140637.92000000001</v>
      </c>
      <c r="F482" s="18">
        <v>7.1099999999999997E-2</v>
      </c>
    </row>
    <row r="483" spans="1:6" x14ac:dyDescent="0.35">
      <c r="A483" s="19">
        <v>4</v>
      </c>
      <c r="B483" s="19" t="s">
        <v>106</v>
      </c>
      <c r="C483" s="19">
        <v>887.13</v>
      </c>
      <c r="D483" s="20">
        <v>6.6000000000000003E-2</v>
      </c>
      <c r="E483" s="19">
        <v>141964.06</v>
      </c>
      <c r="F483" s="20">
        <v>7.1800000000000003E-2</v>
      </c>
    </row>
    <row r="484" spans="1:6" x14ac:dyDescent="0.35">
      <c r="A484" s="16">
        <v>5</v>
      </c>
      <c r="B484" s="16" t="s">
        <v>108</v>
      </c>
      <c r="C484" s="16">
        <v>656.26</v>
      </c>
      <c r="D484" s="18">
        <v>4.8800000000000003E-2</v>
      </c>
      <c r="E484" s="16">
        <v>103876.55</v>
      </c>
      <c r="F484" s="18">
        <v>5.2499999999999998E-2</v>
      </c>
    </row>
    <row r="485" spans="1:6" x14ac:dyDescent="0.35">
      <c r="A485" s="19">
        <v>6</v>
      </c>
      <c r="B485" s="19" t="s">
        <v>109</v>
      </c>
      <c r="C485" s="19">
        <v>599.75</v>
      </c>
      <c r="D485" s="20">
        <v>4.4600000000000001E-2</v>
      </c>
      <c r="E485" s="21">
        <v>91202.44</v>
      </c>
      <c r="F485" s="20">
        <v>4.6100000000000002E-2</v>
      </c>
    </row>
    <row r="486" spans="1:6" x14ac:dyDescent="0.35">
      <c r="A486" s="16">
        <v>7</v>
      </c>
      <c r="B486" s="16" t="s">
        <v>110</v>
      </c>
      <c r="C486" s="16">
        <v>575.54</v>
      </c>
      <c r="D486" s="18">
        <v>4.2799999999999998E-2</v>
      </c>
      <c r="E486" s="17">
        <v>76913.899999999994</v>
      </c>
      <c r="F486" s="18">
        <v>3.8899999999999997E-2</v>
      </c>
    </row>
    <row r="487" spans="1:6" x14ac:dyDescent="0.35">
      <c r="A487" s="19">
        <v>8</v>
      </c>
      <c r="B487" s="19" t="s">
        <v>113</v>
      </c>
      <c r="C487" s="19">
        <v>515.34</v>
      </c>
      <c r="D487" s="20">
        <v>3.8300000000000001E-2</v>
      </c>
      <c r="E487" s="21">
        <v>97168.4</v>
      </c>
      <c r="F487" s="20">
        <v>4.9099999999999998E-2</v>
      </c>
    </row>
    <row r="488" spans="1:6" x14ac:dyDescent="0.35">
      <c r="A488" s="16">
        <v>9</v>
      </c>
      <c r="B488" s="16" t="s">
        <v>111</v>
      </c>
      <c r="C488" s="16">
        <v>469.67</v>
      </c>
      <c r="D488" s="18">
        <v>3.49E-2</v>
      </c>
      <c r="E488" s="17">
        <v>59757.19</v>
      </c>
      <c r="F488" s="18">
        <v>3.0200000000000001E-2</v>
      </c>
    </row>
    <row r="489" spans="1:6" x14ac:dyDescent="0.35">
      <c r="A489" s="19">
        <v>10</v>
      </c>
      <c r="B489" s="19" t="s">
        <v>114</v>
      </c>
      <c r="C489" s="19">
        <v>455.84</v>
      </c>
      <c r="D489" s="20">
        <v>3.39E-2</v>
      </c>
      <c r="E489" s="21">
        <v>72235.02</v>
      </c>
      <c r="F489" s="20">
        <v>3.6499999999999998E-2</v>
      </c>
    </row>
    <row r="490" spans="1:6" x14ac:dyDescent="0.35">
      <c r="A490" s="16">
        <v>11</v>
      </c>
      <c r="B490" s="16" t="s">
        <v>112</v>
      </c>
      <c r="C490" s="16">
        <v>439.51</v>
      </c>
      <c r="D490" s="18">
        <v>3.27E-2</v>
      </c>
      <c r="E490" s="17">
        <v>68656.44</v>
      </c>
      <c r="F490" s="18">
        <v>3.4700000000000002E-2</v>
      </c>
    </row>
    <row r="491" spans="1:6" x14ac:dyDescent="0.35">
      <c r="A491" s="19">
        <v>12</v>
      </c>
      <c r="B491" s="19" t="s">
        <v>115</v>
      </c>
      <c r="C491" s="19">
        <v>386</v>
      </c>
      <c r="D491" s="20">
        <v>2.87E-2</v>
      </c>
      <c r="E491" s="21">
        <v>66683.59</v>
      </c>
      <c r="F491" s="20">
        <v>3.3700000000000001E-2</v>
      </c>
    </row>
    <row r="492" spans="1:6" x14ac:dyDescent="0.35">
      <c r="A492" s="16">
        <v>13</v>
      </c>
      <c r="B492" s="16" t="s">
        <v>116</v>
      </c>
      <c r="C492" s="16">
        <v>351.2</v>
      </c>
      <c r="D492" s="18">
        <v>2.6100000000000002E-2</v>
      </c>
      <c r="E492" s="17">
        <v>50497.34</v>
      </c>
      <c r="F492" s="18">
        <v>2.5499999999999998E-2</v>
      </c>
    </row>
    <row r="493" spans="1:6" x14ac:dyDescent="0.35">
      <c r="A493" s="19">
        <v>14</v>
      </c>
      <c r="B493" s="19" t="s">
        <v>118</v>
      </c>
      <c r="C493" s="19">
        <v>310</v>
      </c>
      <c r="D493" s="20">
        <v>2.3099999999999999E-2</v>
      </c>
      <c r="E493" s="21">
        <v>43820.87</v>
      </c>
      <c r="F493" s="20">
        <v>2.2200000000000001E-2</v>
      </c>
    </row>
    <row r="494" spans="1:6" x14ac:dyDescent="0.35">
      <c r="A494" s="16">
        <v>15</v>
      </c>
      <c r="B494" s="16" t="s">
        <v>117</v>
      </c>
      <c r="C494" s="16">
        <v>309.81</v>
      </c>
      <c r="D494" s="18">
        <v>2.3099999999999999E-2</v>
      </c>
      <c r="E494" s="17">
        <v>44213.71</v>
      </c>
      <c r="F494" s="18">
        <v>2.23E-2</v>
      </c>
    </row>
    <row r="495" spans="1:6" x14ac:dyDescent="0.35">
      <c r="A495" s="19">
        <v>16</v>
      </c>
      <c r="B495" s="19" t="s">
        <v>119</v>
      </c>
      <c r="C495" s="19">
        <v>186.18</v>
      </c>
      <c r="D495" s="20">
        <v>1.3899999999999999E-2</v>
      </c>
      <c r="E495" s="21">
        <v>31180.39</v>
      </c>
      <c r="F495" s="20">
        <v>1.5800000000000002E-2</v>
      </c>
    </row>
    <row r="496" spans="1:6" x14ac:dyDescent="0.35">
      <c r="A496" s="16">
        <v>17</v>
      </c>
      <c r="B496" s="16" t="s">
        <v>121</v>
      </c>
      <c r="C496" s="16">
        <v>166.53</v>
      </c>
      <c r="D496" s="18">
        <v>1.24E-2</v>
      </c>
      <c r="E496" s="17">
        <v>24035.14</v>
      </c>
      <c r="F496" s="18">
        <v>1.21E-2</v>
      </c>
    </row>
    <row r="497" spans="1:6" x14ac:dyDescent="0.35">
      <c r="A497" s="19">
        <v>18</v>
      </c>
      <c r="B497" s="19" t="s">
        <v>120</v>
      </c>
      <c r="C497" s="19">
        <v>157.44999999999999</v>
      </c>
      <c r="D497" s="20">
        <v>1.17E-2</v>
      </c>
      <c r="E497" s="21">
        <v>22507.82</v>
      </c>
      <c r="F497" s="20">
        <v>1.14E-2</v>
      </c>
    </row>
    <row r="498" spans="1:6" x14ac:dyDescent="0.35">
      <c r="A498" s="16">
        <v>19</v>
      </c>
      <c r="B498" s="16" t="s">
        <v>123</v>
      </c>
      <c r="C498" s="16">
        <v>131.55000000000001</v>
      </c>
      <c r="D498" s="18">
        <v>9.7999999999999997E-3</v>
      </c>
      <c r="E498" s="17">
        <v>17789.07</v>
      </c>
      <c r="F498" s="18">
        <v>8.9999999999999993E-3</v>
      </c>
    </row>
    <row r="499" spans="1:6" x14ac:dyDescent="0.35">
      <c r="A499" s="19">
        <v>20</v>
      </c>
      <c r="B499" s="19" t="s">
        <v>122</v>
      </c>
      <c r="C499" s="19">
        <v>96.44</v>
      </c>
      <c r="D499" s="20">
        <v>7.1999999999999998E-3</v>
      </c>
      <c r="E499" s="21">
        <v>12359.89</v>
      </c>
      <c r="F499" s="20">
        <v>6.1999999999999998E-3</v>
      </c>
    </row>
    <row r="500" spans="1:6" x14ac:dyDescent="0.35">
      <c r="A500" s="16">
        <v>21</v>
      </c>
      <c r="B500" s="16" t="s">
        <v>125</v>
      </c>
      <c r="C500" s="16">
        <v>53.84</v>
      </c>
      <c r="D500" s="18">
        <v>4.0000000000000001E-3</v>
      </c>
      <c r="E500" s="17">
        <v>7489.54</v>
      </c>
      <c r="F500" s="18">
        <v>3.8E-3</v>
      </c>
    </row>
    <row r="501" spans="1:6" x14ac:dyDescent="0.35">
      <c r="A501" s="19">
        <v>22</v>
      </c>
      <c r="B501" s="19" t="s">
        <v>124</v>
      </c>
      <c r="C501" s="19">
        <v>51.93</v>
      </c>
      <c r="D501" s="20">
        <v>3.8999999999999998E-3</v>
      </c>
      <c r="E501" s="21">
        <v>6624.41</v>
      </c>
      <c r="F501" s="20">
        <v>3.3E-3</v>
      </c>
    </row>
    <row r="502" spans="1:6" x14ac:dyDescent="0.35">
      <c r="A502" s="16">
        <v>23</v>
      </c>
      <c r="B502" s="16" t="s">
        <v>126</v>
      </c>
      <c r="C502" s="16">
        <v>30.22</v>
      </c>
      <c r="D502" s="18">
        <v>2.2000000000000001E-3</v>
      </c>
      <c r="E502" s="17">
        <v>4197.43</v>
      </c>
      <c r="F502" s="18">
        <v>2.0999999999999999E-3</v>
      </c>
    </row>
    <row r="503" spans="1:6" x14ac:dyDescent="0.35">
      <c r="A503" s="19">
        <v>24</v>
      </c>
      <c r="B503" s="19" t="s">
        <v>127</v>
      </c>
      <c r="C503" s="19">
        <v>26.64</v>
      </c>
      <c r="D503" s="20">
        <v>2E-3</v>
      </c>
      <c r="E503" s="21">
        <v>3422.7</v>
      </c>
      <c r="F503" s="20">
        <v>1.6999999999999999E-3</v>
      </c>
    </row>
    <row r="504" spans="1:6" x14ac:dyDescent="0.35">
      <c r="A504" s="16">
        <v>25</v>
      </c>
      <c r="B504" s="16" t="s">
        <v>128</v>
      </c>
      <c r="C504" s="16">
        <v>14.54</v>
      </c>
      <c r="D504" s="18">
        <v>1.1000000000000001E-3</v>
      </c>
      <c r="E504" s="17">
        <v>2067.0500000000002</v>
      </c>
      <c r="F504" s="18">
        <v>1E-3</v>
      </c>
    </row>
    <row r="505" spans="1:6" ht="20" x14ac:dyDescent="0.35">
      <c r="A505" s="19">
        <v>26</v>
      </c>
      <c r="B505" s="19" t="s">
        <v>130</v>
      </c>
      <c r="C505" s="19">
        <v>14.3</v>
      </c>
      <c r="D505" s="20">
        <v>1.1000000000000001E-3</v>
      </c>
      <c r="E505" s="21">
        <v>2266.7600000000002</v>
      </c>
      <c r="F505" s="20">
        <v>1.1000000000000001E-3</v>
      </c>
    </row>
    <row r="506" spans="1:6" x14ac:dyDescent="0.35">
      <c r="A506" s="16">
        <v>27</v>
      </c>
      <c r="B506" s="16" t="s">
        <v>132</v>
      </c>
      <c r="C506" s="16">
        <v>11.03</v>
      </c>
      <c r="D506" s="18">
        <v>8.0000000000000004E-4</v>
      </c>
      <c r="E506" s="17">
        <v>1789.75</v>
      </c>
      <c r="F506" s="18">
        <v>8.9999999999999998E-4</v>
      </c>
    </row>
    <row r="507" spans="1:6" ht="20" x14ac:dyDescent="0.35">
      <c r="A507" s="19">
        <v>28</v>
      </c>
      <c r="B507" s="19" t="s">
        <v>131</v>
      </c>
      <c r="C507" s="19">
        <v>9.77</v>
      </c>
      <c r="D507" s="20">
        <v>6.9999999999999999E-4</v>
      </c>
      <c r="E507" s="21">
        <v>1033.3800000000001</v>
      </c>
      <c r="F507" s="20">
        <v>5.0000000000000001E-4</v>
      </c>
    </row>
    <row r="508" spans="1:6" x14ac:dyDescent="0.35">
      <c r="A508" s="16">
        <v>29</v>
      </c>
      <c r="B508" s="16" t="s">
        <v>133</v>
      </c>
      <c r="C508" s="16">
        <v>9.6</v>
      </c>
      <c r="D508" s="18">
        <v>6.9999999999999999E-4</v>
      </c>
      <c r="E508" s="17">
        <v>1527.77</v>
      </c>
      <c r="F508" s="18">
        <v>8.0000000000000004E-4</v>
      </c>
    </row>
    <row r="509" spans="1:6" x14ac:dyDescent="0.35">
      <c r="A509" s="19">
        <v>30</v>
      </c>
      <c r="B509" s="19" t="s">
        <v>129</v>
      </c>
      <c r="C509" s="19">
        <v>8.5299999999999994</v>
      </c>
      <c r="D509" s="20">
        <v>5.9999999999999995E-4</v>
      </c>
      <c r="E509" s="21">
        <v>2149.56</v>
      </c>
      <c r="F509" s="20">
        <v>1.1000000000000001E-3</v>
      </c>
    </row>
    <row r="510" spans="1:6" x14ac:dyDescent="0.35">
      <c r="A510" s="16">
        <v>31</v>
      </c>
      <c r="B510" s="16" t="s">
        <v>134</v>
      </c>
      <c r="C510" s="16">
        <v>8</v>
      </c>
      <c r="D510" s="18">
        <v>5.9999999999999995E-4</v>
      </c>
      <c r="E510" s="17">
        <v>1688.06</v>
      </c>
      <c r="F510" s="18">
        <v>8.9999999999999998E-4</v>
      </c>
    </row>
    <row r="511" spans="1:6" x14ac:dyDescent="0.35">
      <c r="A511" s="19">
        <v>32</v>
      </c>
      <c r="B511" s="19" t="s">
        <v>136</v>
      </c>
      <c r="C511" s="19">
        <v>6.53</v>
      </c>
      <c r="D511" s="20">
        <v>5.0000000000000001E-4</v>
      </c>
      <c r="E511" s="21">
        <v>1328.97</v>
      </c>
      <c r="F511" s="20">
        <v>6.9999999999999999E-4</v>
      </c>
    </row>
    <row r="512" spans="1:6" x14ac:dyDescent="0.35">
      <c r="A512" s="16">
        <v>33</v>
      </c>
      <c r="B512" s="16" t="s">
        <v>135</v>
      </c>
      <c r="C512" s="16">
        <v>5.64</v>
      </c>
      <c r="D512" s="18">
        <v>4.0000000000000002E-4</v>
      </c>
      <c r="E512" s="16">
        <v>890.91</v>
      </c>
      <c r="F512" s="18">
        <v>5.0000000000000001E-4</v>
      </c>
    </row>
    <row r="513" spans="1:6" x14ac:dyDescent="0.35">
      <c r="A513" s="19">
        <v>34</v>
      </c>
      <c r="B513" s="19" t="s">
        <v>137</v>
      </c>
      <c r="C513" s="19">
        <v>2.95</v>
      </c>
      <c r="D513" s="20">
        <v>2.0000000000000001E-4</v>
      </c>
      <c r="E513" s="19">
        <v>525.36</v>
      </c>
      <c r="F513" s="20">
        <v>2.9999999999999997E-4</v>
      </c>
    </row>
    <row r="514" spans="1:6" x14ac:dyDescent="0.35">
      <c r="A514" s="16">
        <v>35</v>
      </c>
      <c r="B514" s="16" t="s">
        <v>138</v>
      </c>
      <c r="C514" s="16">
        <v>2.11</v>
      </c>
      <c r="D514" s="18">
        <v>2.0000000000000001E-4</v>
      </c>
      <c r="E514" s="16">
        <v>382.57</v>
      </c>
      <c r="F514" s="18">
        <v>2.0000000000000001E-4</v>
      </c>
    </row>
    <row r="515" spans="1:6" x14ac:dyDescent="0.35">
      <c r="A515" s="19">
        <v>36</v>
      </c>
      <c r="B515" s="19" t="s">
        <v>139</v>
      </c>
      <c r="C515" s="19">
        <v>0.32</v>
      </c>
      <c r="D515" s="20">
        <v>0</v>
      </c>
      <c r="E515" s="19">
        <v>44.73</v>
      </c>
      <c r="F515" s="20">
        <v>0</v>
      </c>
    </row>
    <row r="516" spans="1:6" x14ac:dyDescent="0.35">
      <c r="A516" s="16">
        <v>37</v>
      </c>
      <c r="B516" s="16" t="s">
        <v>140</v>
      </c>
      <c r="C516" s="17">
        <v>2521.15</v>
      </c>
      <c r="D516" s="18">
        <v>0.18759999999999999</v>
      </c>
      <c r="E516" s="16">
        <v>368010.97</v>
      </c>
      <c r="F516" s="18">
        <v>0.186</v>
      </c>
    </row>
  </sheetData>
  <mergeCells count="60">
    <mergeCell ref="F478:F479"/>
    <mergeCell ref="A436:A437"/>
    <mergeCell ref="B436:B437"/>
    <mergeCell ref="C436:C437"/>
    <mergeCell ref="D436:D437"/>
    <mergeCell ref="E436:E437"/>
    <mergeCell ref="F436:F437"/>
    <mergeCell ref="A478:A479"/>
    <mergeCell ref="B478:B479"/>
    <mergeCell ref="C478:C479"/>
    <mergeCell ref="D478:D479"/>
    <mergeCell ref="E478:E479"/>
    <mergeCell ref="F394:F395"/>
    <mergeCell ref="A352:A353"/>
    <mergeCell ref="B352:B353"/>
    <mergeCell ref="C352:C353"/>
    <mergeCell ref="D352:D353"/>
    <mergeCell ref="E352:E353"/>
    <mergeCell ref="F352:F353"/>
    <mergeCell ref="A394:A395"/>
    <mergeCell ref="B394:B395"/>
    <mergeCell ref="C394:C395"/>
    <mergeCell ref="D394:D395"/>
    <mergeCell ref="E394:E395"/>
    <mergeCell ref="F310:F311"/>
    <mergeCell ref="A267:A268"/>
    <mergeCell ref="B267:B268"/>
    <mergeCell ref="C267:C268"/>
    <mergeCell ref="D267:D268"/>
    <mergeCell ref="E267:E268"/>
    <mergeCell ref="F267:F268"/>
    <mergeCell ref="A310:A311"/>
    <mergeCell ref="B310:B311"/>
    <mergeCell ref="C310:C311"/>
    <mergeCell ref="D310:D311"/>
    <mergeCell ref="E310:E311"/>
    <mergeCell ref="F225:F226"/>
    <mergeCell ref="A182:A183"/>
    <mergeCell ref="B182:B183"/>
    <mergeCell ref="C182:C183"/>
    <mergeCell ref="D182:D183"/>
    <mergeCell ref="E182:E183"/>
    <mergeCell ref="F182:F183"/>
    <mergeCell ref="A225:A226"/>
    <mergeCell ref="B225:B226"/>
    <mergeCell ref="C225:C226"/>
    <mergeCell ref="D225:D226"/>
    <mergeCell ref="E225:E226"/>
    <mergeCell ref="F140:F141"/>
    <mergeCell ref="A96:A97"/>
    <mergeCell ref="B96:B97"/>
    <mergeCell ref="C96:C97"/>
    <mergeCell ref="D96:D97"/>
    <mergeCell ref="E96:E97"/>
    <mergeCell ref="F96:F97"/>
    <mergeCell ref="A140:A141"/>
    <mergeCell ref="B140:B141"/>
    <mergeCell ref="C140:C141"/>
    <mergeCell ref="D140:D141"/>
    <mergeCell ref="E140:E14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C55-7288-43E5-93FA-1F40850BECD6}">
  <dimension ref="A1:G46"/>
  <sheetViews>
    <sheetView tabSelected="1" zoomScale="55" zoomScaleNormal="55" workbookViewId="0">
      <selection sqref="A1:G34"/>
    </sheetView>
  </sheetViews>
  <sheetFormatPr defaultRowHeight="14.5" x14ac:dyDescent="0.35"/>
  <cols>
    <col min="1" max="1" width="5.26953125" customWidth="1"/>
    <col min="2" max="2" width="36.90625" customWidth="1"/>
    <col min="3" max="3" width="20.90625" customWidth="1"/>
    <col min="4" max="4" width="43.6328125" bestFit="1" customWidth="1"/>
    <col min="5" max="5" width="27.08984375" customWidth="1"/>
    <col min="6" max="6" width="24.26953125" customWidth="1"/>
    <col min="7" max="7" width="32.90625" customWidth="1"/>
  </cols>
  <sheetData>
    <row r="1" spans="1:7" x14ac:dyDescent="0.35">
      <c r="A1" s="5" t="s">
        <v>98</v>
      </c>
      <c r="B1" s="5" t="s">
        <v>99</v>
      </c>
      <c r="C1" s="5" t="s">
        <v>145</v>
      </c>
      <c r="D1" s="5" t="s">
        <v>146</v>
      </c>
      <c r="E1" s="5" t="s">
        <v>147</v>
      </c>
      <c r="F1" s="25" t="s">
        <v>148</v>
      </c>
      <c r="G1" s="5" t="s">
        <v>152</v>
      </c>
    </row>
    <row r="2" spans="1:7" x14ac:dyDescent="0.35">
      <c r="A2">
        <v>1</v>
      </c>
      <c r="B2" t="s">
        <v>104</v>
      </c>
      <c r="C2">
        <v>3168886.74</v>
      </c>
      <c r="D2">
        <f>(C2 / SUM($C$2:$C$34))*100</f>
        <v>19.236356724294254</v>
      </c>
      <c r="E2" t="str">
        <f>_xlfn.XLOOKUP(UPI_State_Snapshot_2023_24!B2,'REATIL GSVA WORK'!$C$7:$C$39,'REATIL GSVA WORK'!$I$7:$I$39)</f>
        <v>Low</v>
      </c>
      <c r="F2" t="str">
        <f>_xlfn.XLOOKUP(UPI_State_Snapshot_2023_24!B2,'REATIL GSVA WORK'!$C$7:$C$39,'REATIL GSVA WORK'!$J$7:$J$39)</f>
        <v>High Size</v>
      </c>
      <c r="G2" t="str">
        <f>IF(
   AND(F2="High Size",E2="High",D2&gt;=MEDIAN($D$2:$D$34)),
   "Core Growth Engine",
IF(
   AND(E2="High",D2&lt;MEDIAN($D$2:$D$34)),
   "Emerging Growth Market",
IF(
   D2&lt;MEDIAN($D$2:$D$34),
   "Low Adoption &amp; Low Maturity",
   "Digitally Mature Market"
)))</f>
        <v>Digitally Mature Market</v>
      </c>
    </row>
    <row r="3" spans="1:7" x14ac:dyDescent="0.35">
      <c r="A3">
        <v>2</v>
      </c>
      <c r="B3" t="s">
        <v>105</v>
      </c>
      <c r="C3">
        <v>1556774.37</v>
      </c>
      <c r="D3">
        <f t="shared" ref="D3:D28" si="0">(C3 / SUM($C$2:$C$37))*100</f>
        <v>9.4502169303022967</v>
      </c>
      <c r="E3" t="str">
        <f>_xlfn.XLOOKUP(UPI_State_Snapshot_2023_24!B3,'REATIL GSVA WORK'!$C$7:$C$39,'REATIL GSVA WORK'!$I$7:$I$39)</f>
        <v>Medium</v>
      </c>
      <c r="F3" t="str">
        <f>_xlfn.XLOOKUP(UPI_State_Snapshot_2023_24!B3,'REATIL GSVA WORK'!$C$7:$C$39,'REATIL GSVA WORK'!$J$7:$J$39)</f>
        <v>High Size</v>
      </c>
      <c r="G3" t="str">
        <f t="shared" ref="G3:G34" si="1">IF(
   AND(F3="High Size",E3="High",D3&gt;=MEDIAN($D$2:$D$34)),
   "Core Growth Engine",
IF(
   AND(E3="High",D3&lt;MEDIAN($D$2:$D$34)),
   "Emerging Growth Market",
IF(
   D3&lt;MEDIAN($D$2:$D$34),
   "Low Adoption &amp; Low Maturity",
   "Digitally Mature Market"
)))</f>
        <v>Digitally Mature Market</v>
      </c>
    </row>
    <row r="4" spans="1:7" x14ac:dyDescent="0.35">
      <c r="A4">
        <v>3</v>
      </c>
      <c r="B4" t="s">
        <v>107</v>
      </c>
      <c r="C4">
        <v>1513523.1099999999</v>
      </c>
      <c r="D4">
        <f t="shared" si="0"/>
        <v>9.187665209651275</v>
      </c>
      <c r="E4" t="str">
        <f>_xlfn.XLOOKUP(UPI_State_Snapshot_2023_24!B4,'REATIL GSVA WORK'!$C$7:$C$39,'REATIL GSVA WORK'!$I$7:$I$39)</f>
        <v>Medium</v>
      </c>
      <c r="F4" t="str">
        <f>_xlfn.XLOOKUP(UPI_State_Snapshot_2023_24!B4,'REATIL GSVA WORK'!$C$7:$C$39,'REATIL GSVA WORK'!$J$7:$J$39)</f>
        <v>High Size</v>
      </c>
      <c r="G4" t="str">
        <f t="shared" si="1"/>
        <v>Digitally Mature Market</v>
      </c>
    </row>
    <row r="5" spans="1:7" x14ac:dyDescent="0.35">
      <c r="A5">
        <v>4</v>
      </c>
      <c r="B5" t="s">
        <v>106</v>
      </c>
      <c r="C5">
        <v>1307898.7900000003</v>
      </c>
      <c r="D5">
        <f t="shared" si="0"/>
        <v>7.9394467988189517</v>
      </c>
      <c r="E5" t="str">
        <f>_xlfn.XLOOKUP(UPI_State_Snapshot_2023_24!B5,'REATIL GSVA WORK'!$C$7:$C$39,'REATIL GSVA WORK'!$I$7:$I$39)</f>
        <v>High</v>
      </c>
      <c r="F5" t="str">
        <f>_xlfn.XLOOKUP(UPI_State_Snapshot_2023_24!B5,'REATIL GSVA WORK'!$C$7:$C$39,'REATIL GSVA WORK'!$J$7:$J$39)</f>
        <v>High Size</v>
      </c>
      <c r="G5" t="str">
        <f t="shared" si="1"/>
        <v>Core Growth Engine</v>
      </c>
    </row>
    <row r="6" spans="1:7" x14ac:dyDescent="0.35">
      <c r="A6">
        <v>5</v>
      </c>
      <c r="B6" t="s">
        <v>108</v>
      </c>
      <c r="C6">
        <v>1024543.2799999999</v>
      </c>
      <c r="D6">
        <f t="shared" si="0"/>
        <v>6.219370280667869</v>
      </c>
      <c r="E6" t="str">
        <f>_xlfn.XLOOKUP(UPI_State_Snapshot_2023_24!B6,'REATIL GSVA WORK'!$C$7:$C$39,'REATIL GSVA WORK'!$I$7:$I$39)</f>
        <v>Medium</v>
      </c>
      <c r="F6" t="str">
        <f>_xlfn.XLOOKUP(UPI_State_Snapshot_2023_24!B6,'REATIL GSVA WORK'!$C$7:$C$39,'REATIL GSVA WORK'!$J$7:$J$39)</f>
        <v>High Size</v>
      </c>
      <c r="G6" t="str">
        <f t="shared" si="1"/>
        <v>Digitally Mature Market</v>
      </c>
    </row>
    <row r="7" spans="1:7" x14ac:dyDescent="0.35">
      <c r="A7">
        <v>6</v>
      </c>
      <c r="B7" t="s">
        <v>109</v>
      </c>
      <c r="C7">
        <v>885122.88000000012</v>
      </c>
      <c r="D7">
        <f t="shared" si="0"/>
        <v>5.3730350313860376</v>
      </c>
      <c r="E7" t="str">
        <f>_xlfn.XLOOKUP(UPI_State_Snapshot_2023_24!B7,'REATIL GSVA WORK'!$C$7:$C$39,'REATIL GSVA WORK'!$I$7:$I$39)</f>
        <v>Medium</v>
      </c>
      <c r="F7" t="str">
        <f>_xlfn.XLOOKUP(UPI_State_Snapshot_2023_24!B7,'REATIL GSVA WORK'!$C$7:$C$39,'REATIL GSVA WORK'!$J$7:$J$39)</f>
        <v>High Size</v>
      </c>
      <c r="G7" t="str">
        <f t="shared" si="1"/>
        <v>Digitally Mature Market</v>
      </c>
    </row>
    <row r="8" spans="1:7" x14ac:dyDescent="0.35">
      <c r="A8">
        <v>7</v>
      </c>
      <c r="B8" t="s">
        <v>110</v>
      </c>
      <c r="C8">
        <v>832228.26000000013</v>
      </c>
      <c r="D8">
        <f t="shared" si="0"/>
        <v>5.0519444205187041</v>
      </c>
      <c r="E8" t="str">
        <f>_xlfn.XLOOKUP(UPI_State_Snapshot_2023_24!B8,'REATIL GSVA WORK'!$C$7:$C$39,'REATIL GSVA WORK'!$I$7:$I$39)</f>
        <v>Medium</v>
      </c>
      <c r="F8" t="str">
        <f>_xlfn.XLOOKUP(UPI_State_Snapshot_2023_24!B8,'REATIL GSVA WORK'!$C$7:$C$39,'REATIL GSVA WORK'!$J$7:$J$39)</f>
        <v>Medium Size</v>
      </c>
      <c r="G8" t="str">
        <f t="shared" si="1"/>
        <v>Digitally Mature Market</v>
      </c>
    </row>
    <row r="9" spans="1:7" x14ac:dyDescent="0.35">
      <c r="A9">
        <v>8</v>
      </c>
      <c r="B9" t="s">
        <v>113</v>
      </c>
      <c r="C9">
        <v>751565.26000000013</v>
      </c>
      <c r="D9">
        <f t="shared" si="0"/>
        <v>4.5622891031274158</v>
      </c>
      <c r="E9" t="str">
        <f>_xlfn.XLOOKUP(UPI_State_Snapshot_2023_24!B9,'REATIL GSVA WORK'!$C$7:$C$39,'REATIL GSVA WORK'!$I$7:$I$39)</f>
        <v>Medium</v>
      </c>
      <c r="F9" t="str">
        <f>_xlfn.XLOOKUP(UPI_State_Snapshot_2023_24!B9,'REATIL GSVA WORK'!$C$7:$C$39,'REATIL GSVA WORK'!$J$7:$J$39)</f>
        <v>Medium Size</v>
      </c>
      <c r="G9" t="str">
        <f t="shared" si="1"/>
        <v>Digitally Mature Market</v>
      </c>
    </row>
    <row r="10" spans="1:7" x14ac:dyDescent="0.35">
      <c r="A10">
        <v>9</v>
      </c>
      <c r="B10" t="s">
        <v>111</v>
      </c>
      <c r="C10">
        <v>730871.7</v>
      </c>
      <c r="D10">
        <f t="shared" si="0"/>
        <v>4.4366712648402729</v>
      </c>
      <c r="E10" t="str">
        <f>_xlfn.XLOOKUP(UPI_State_Snapshot_2023_24!B10,'REATIL GSVA WORK'!$C$7:$C$39,'REATIL GSVA WORK'!$I$7:$I$39)</f>
        <v>Medium</v>
      </c>
      <c r="F10" t="str">
        <f>_xlfn.XLOOKUP(UPI_State_Snapshot_2023_24!B10,'REATIL GSVA WORK'!$C$7:$C$39,'REATIL GSVA WORK'!$J$7:$J$39)</f>
        <v>Medium Size</v>
      </c>
      <c r="G10" t="str">
        <f t="shared" si="1"/>
        <v>Digitally Mature Market</v>
      </c>
    </row>
    <row r="11" spans="1:7" x14ac:dyDescent="0.35">
      <c r="A11">
        <v>10</v>
      </c>
      <c r="B11" t="s">
        <v>114</v>
      </c>
      <c r="C11">
        <v>697084.81</v>
      </c>
      <c r="D11">
        <f t="shared" si="0"/>
        <v>4.2315718965225253</v>
      </c>
      <c r="E11" t="str">
        <f>_xlfn.XLOOKUP(UPI_State_Snapshot_2023_24!B11,'REATIL GSVA WORK'!$C$7:$C$39,'REATIL GSVA WORK'!$I$7:$I$39)</f>
        <v>Low</v>
      </c>
      <c r="F11" t="str">
        <f>_xlfn.XLOOKUP(UPI_State_Snapshot_2023_24!B11,'REATIL GSVA WORK'!$C$7:$C$39,'REATIL GSVA WORK'!$J$7:$J$39)</f>
        <v>Medium Size</v>
      </c>
      <c r="G11" t="str">
        <f t="shared" si="1"/>
        <v>Digitally Mature Market</v>
      </c>
    </row>
    <row r="12" spans="1:7" x14ac:dyDescent="0.35">
      <c r="A12">
        <v>11</v>
      </c>
      <c r="B12" t="s">
        <v>112</v>
      </c>
      <c r="C12">
        <v>655633.79</v>
      </c>
      <c r="D12">
        <f t="shared" si="0"/>
        <v>3.9799483224638776</v>
      </c>
      <c r="E12" t="str">
        <f>_xlfn.XLOOKUP(UPI_State_Snapshot_2023_24!B12,'REATIL GSVA WORK'!$C$7:$C$39,'REATIL GSVA WORK'!$I$7:$I$39)</f>
        <v>High</v>
      </c>
      <c r="F12" t="str">
        <f>_xlfn.XLOOKUP(UPI_State_Snapshot_2023_24!B12,'REATIL GSVA WORK'!$C$7:$C$39,'REATIL GSVA WORK'!$J$7:$J$39)</f>
        <v>High Size</v>
      </c>
      <c r="G12" t="str">
        <f t="shared" si="1"/>
        <v>Core Growth Engine</v>
      </c>
    </row>
    <row r="13" spans="1:7" x14ac:dyDescent="0.35">
      <c r="A13">
        <v>12</v>
      </c>
      <c r="B13" t="s">
        <v>115</v>
      </c>
      <c r="C13">
        <v>632247.77</v>
      </c>
      <c r="D13">
        <f t="shared" si="0"/>
        <v>3.8379862203151967</v>
      </c>
      <c r="E13" t="str">
        <f>_xlfn.XLOOKUP(UPI_State_Snapshot_2023_24!B13,'REATIL GSVA WORK'!$C$7:$C$39,'REATIL GSVA WORK'!$I$7:$I$39)</f>
        <v>Medium</v>
      </c>
      <c r="F13" t="str">
        <f>_xlfn.XLOOKUP(UPI_State_Snapshot_2023_24!B13,'REATIL GSVA WORK'!$C$7:$C$39,'REATIL GSVA WORK'!$J$7:$J$39)</f>
        <v>High Size</v>
      </c>
      <c r="G13" t="str">
        <f t="shared" si="1"/>
        <v>Digitally Mature Market</v>
      </c>
    </row>
    <row r="14" spans="1:7" x14ac:dyDescent="0.35">
      <c r="A14">
        <v>13</v>
      </c>
      <c r="B14" t="s">
        <v>116</v>
      </c>
      <c r="C14">
        <v>502322.18999999994</v>
      </c>
      <c r="D14">
        <f t="shared" si="0"/>
        <v>3.0492881665340659</v>
      </c>
      <c r="E14" t="str">
        <f>_xlfn.XLOOKUP(UPI_State_Snapshot_2023_24!B14,'REATIL GSVA WORK'!$C$7:$C$39,'REATIL GSVA WORK'!$I$7:$I$39)</f>
        <v>Medium</v>
      </c>
      <c r="F14" t="str">
        <f>_xlfn.XLOOKUP(UPI_State_Snapshot_2023_24!B14,'REATIL GSVA WORK'!$C$7:$C$39,'REATIL GSVA WORK'!$J$7:$J$39)</f>
        <v>Medium Size</v>
      </c>
      <c r="G14" t="str">
        <f t="shared" si="1"/>
        <v>Digitally Mature Market</v>
      </c>
    </row>
    <row r="15" spans="1:7" x14ac:dyDescent="0.35">
      <c r="A15">
        <v>14</v>
      </c>
      <c r="B15" t="s">
        <v>117</v>
      </c>
      <c r="C15">
        <v>442393.59</v>
      </c>
      <c r="D15">
        <f t="shared" si="0"/>
        <v>2.6854986018784546</v>
      </c>
      <c r="E15" t="str">
        <f>_xlfn.XLOOKUP(UPI_State_Snapshot_2023_24!B15,'REATIL GSVA WORK'!$C$7:$C$39,'REATIL GSVA WORK'!$I$7:$I$39)</f>
        <v>Medium</v>
      </c>
      <c r="F15" t="str">
        <f>_xlfn.XLOOKUP(UPI_State_Snapshot_2023_24!B15,'REATIL GSVA WORK'!$C$7:$C$39,'REATIL GSVA WORK'!$J$7:$J$39)</f>
        <v>High Size</v>
      </c>
      <c r="G15" t="str">
        <f t="shared" si="1"/>
        <v>Digitally Mature Market</v>
      </c>
    </row>
    <row r="16" spans="1:7" x14ac:dyDescent="0.35">
      <c r="A16">
        <v>15</v>
      </c>
      <c r="B16" t="s">
        <v>118</v>
      </c>
      <c r="C16">
        <v>407989.27000000008</v>
      </c>
      <c r="D16">
        <f t="shared" si="0"/>
        <v>2.4766511968819698</v>
      </c>
      <c r="E16" t="str">
        <f>_xlfn.XLOOKUP(UPI_State_Snapshot_2023_24!B16,'REATIL GSVA WORK'!$C$7:$C$39,'REATIL GSVA WORK'!$I$7:$I$39)</f>
        <v>Medium</v>
      </c>
      <c r="F16" t="str">
        <f>_xlfn.XLOOKUP(UPI_State_Snapshot_2023_24!B16,'REATIL GSVA WORK'!$C$7:$C$39,'REATIL GSVA WORK'!$J$7:$J$39)</f>
        <v>Medium Size</v>
      </c>
      <c r="G16" t="str">
        <f t="shared" si="1"/>
        <v>Digitally Mature Market</v>
      </c>
    </row>
    <row r="17" spans="1:7" x14ac:dyDescent="0.35">
      <c r="A17">
        <v>16</v>
      </c>
      <c r="B17" t="s">
        <v>119</v>
      </c>
      <c r="C17">
        <v>314021.34000000003</v>
      </c>
      <c r="D17">
        <f t="shared" si="0"/>
        <v>1.9062298563819584</v>
      </c>
      <c r="E17" t="str">
        <f>_xlfn.XLOOKUP(UPI_State_Snapshot_2023_24!B17,'REATIL GSVA WORK'!$C$7:$C$39,'REATIL GSVA WORK'!$I$7:$I$39)</f>
        <v>Low</v>
      </c>
      <c r="F17" t="str">
        <f>_xlfn.XLOOKUP(UPI_State_Snapshot_2023_24!B17,'REATIL GSVA WORK'!$C$7:$C$39,'REATIL GSVA WORK'!$J$7:$J$39)</f>
        <v>Medium Size</v>
      </c>
      <c r="G17" t="str">
        <f t="shared" si="1"/>
        <v>Digitally Mature Market</v>
      </c>
    </row>
    <row r="18" spans="1:7" x14ac:dyDescent="0.35">
      <c r="A18">
        <v>17</v>
      </c>
      <c r="B18" t="s">
        <v>121</v>
      </c>
      <c r="C18">
        <v>208963.05000000005</v>
      </c>
      <c r="D18">
        <f t="shared" si="0"/>
        <v>1.268485781223136</v>
      </c>
      <c r="E18" t="str">
        <f>_xlfn.XLOOKUP(UPI_State_Snapshot_2023_24!B18,'REATIL GSVA WORK'!$C$7:$C$39,'REATIL GSVA WORK'!$I$7:$I$39)</f>
        <v>Low</v>
      </c>
      <c r="F18" t="str">
        <f>_xlfn.XLOOKUP(UPI_State_Snapshot_2023_24!B18,'REATIL GSVA WORK'!$C$7:$C$39,'REATIL GSVA WORK'!$J$7:$J$39)</f>
        <v>Medium Size</v>
      </c>
      <c r="G18" t="str">
        <f t="shared" si="1"/>
        <v>Digitally Mature Market</v>
      </c>
    </row>
    <row r="19" spans="1:7" x14ac:dyDescent="0.35">
      <c r="A19">
        <v>18</v>
      </c>
      <c r="B19" t="s">
        <v>120</v>
      </c>
      <c r="C19">
        <v>201375.52</v>
      </c>
      <c r="D19">
        <f t="shared" si="0"/>
        <v>1.2224265668328214</v>
      </c>
      <c r="E19" t="str">
        <f>_xlfn.XLOOKUP(UPI_State_Snapshot_2023_24!B19,'REATIL GSVA WORK'!$C$7:$C$39,'REATIL GSVA WORK'!$I$7:$I$39)</f>
        <v>High</v>
      </c>
      <c r="F19" t="str">
        <f>_xlfn.XLOOKUP(UPI_State_Snapshot_2023_24!B19,'REATIL GSVA WORK'!$C$7:$C$39,'REATIL GSVA WORK'!$J$7:$J$39)</f>
        <v>Medium Size</v>
      </c>
      <c r="G19" t="str">
        <f t="shared" si="1"/>
        <v>Emerging Growth Market</v>
      </c>
    </row>
    <row r="20" spans="1:7" x14ac:dyDescent="0.35">
      <c r="A20">
        <v>19</v>
      </c>
      <c r="B20" t="s">
        <v>123</v>
      </c>
      <c r="C20">
        <v>163277.75</v>
      </c>
      <c r="D20">
        <f t="shared" si="0"/>
        <v>0.9911585051285664</v>
      </c>
      <c r="E20" t="str">
        <f>_xlfn.XLOOKUP(UPI_State_Snapshot_2023_24!B20,'REATIL GSVA WORK'!$C$7:$C$39,'REATIL GSVA WORK'!$I$7:$I$39)</f>
        <v>Medium</v>
      </c>
      <c r="F20" t="str">
        <f>_xlfn.XLOOKUP(UPI_State_Snapshot_2023_24!B20,'REATIL GSVA WORK'!$C$7:$C$39,'REATIL GSVA WORK'!$J$7:$J$39)</f>
        <v>Medium Size</v>
      </c>
      <c r="G20" t="str">
        <f t="shared" si="1"/>
        <v>Low Adoption &amp; Low Maturity</v>
      </c>
    </row>
    <row r="21" spans="1:7" x14ac:dyDescent="0.35">
      <c r="A21">
        <v>20</v>
      </c>
      <c r="B21" t="s">
        <v>122</v>
      </c>
      <c r="C21">
        <v>138981.97999999998</v>
      </c>
      <c r="D21">
        <f t="shared" si="0"/>
        <v>0.84367387189380227</v>
      </c>
      <c r="E21" t="str">
        <f>_xlfn.XLOOKUP(UPI_State_Snapshot_2023_24!B21,'REATIL GSVA WORK'!$C$7:$C$39,'REATIL GSVA WORK'!$I$7:$I$39)</f>
        <v>High</v>
      </c>
      <c r="F21" t="str">
        <f>_xlfn.XLOOKUP(UPI_State_Snapshot_2023_24!B21,'REATIL GSVA WORK'!$C$7:$C$39,'REATIL GSVA WORK'!$J$7:$J$39)</f>
        <v>Medium Size</v>
      </c>
      <c r="G21" t="str">
        <f t="shared" si="1"/>
        <v>Emerging Growth Market</v>
      </c>
    </row>
    <row r="22" spans="1:7" x14ac:dyDescent="0.35">
      <c r="A22">
        <v>21</v>
      </c>
      <c r="B22" t="s">
        <v>149</v>
      </c>
      <c r="C22">
        <v>67712.26999999999</v>
      </c>
      <c r="D22">
        <f t="shared" si="0"/>
        <v>0.41103942400028082</v>
      </c>
      <c r="E22" t="str">
        <f>_xlfn.XLOOKUP(UPI_State_Snapshot_2023_24!B22,'REATIL GSVA WORK'!$C$7:$C$39,'REATIL GSVA WORK'!$I$7:$I$39)</f>
        <v>Low</v>
      </c>
      <c r="F22" t="str">
        <f>_xlfn.XLOOKUP(UPI_State_Snapshot_2023_24!B22,'REATIL GSVA WORK'!$C$7:$C$39,'REATIL GSVA WORK'!$J$7:$J$39)</f>
        <v>Medium Size</v>
      </c>
      <c r="G22" t="str">
        <f t="shared" si="1"/>
        <v>Low Adoption &amp; Low Maturity</v>
      </c>
    </row>
    <row r="23" spans="1:7" x14ac:dyDescent="0.35">
      <c r="A23">
        <v>22</v>
      </c>
      <c r="B23" t="s">
        <v>124</v>
      </c>
      <c r="C23">
        <v>67848.240000000005</v>
      </c>
      <c r="D23">
        <f t="shared" si="0"/>
        <v>0.41186481399948366</v>
      </c>
      <c r="E23" t="str">
        <f>_xlfn.XLOOKUP(UPI_State_Snapshot_2023_24!B23,'REATIL GSVA WORK'!$C$7:$C$39,'REATIL GSVA WORK'!$I$7:$I$39)</f>
        <v>Medium</v>
      </c>
      <c r="F23" t="str">
        <f>_xlfn.XLOOKUP(UPI_State_Snapshot_2023_24!B23,'REATIL GSVA WORK'!$C$7:$C$39,'REATIL GSVA WORK'!$J$7:$J$39)</f>
        <v>Medium Size</v>
      </c>
      <c r="G23" t="str">
        <f t="shared" si="1"/>
        <v>Low Adoption &amp; Low Maturity</v>
      </c>
    </row>
    <row r="24" spans="1:7" x14ac:dyDescent="0.35">
      <c r="A24">
        <v>23</v>
      </c>
      <c r="B24" t="s">
        <v>126</v>
      </c>
      <c r="C24">
        <v>40899.899999999994</v>
      </c>
      <c r="D24">
        <f t="shared" si="0"/>
        <v>0.24827806448770787</v>
      </c>
      <c r="E24" t="str">
        <f>_xlfn.XLOOKUP(UPI_State_Snapshot_2023_24!B24,'REATIL GSVA WORK'!$C$7:$C$39,'REATIL GSVA WORK'!$I$7:$I$39)</f>
        <v>Medium</v>
      </c>
      <c r="F24" t="str">
        <f>_xlfn.XLOOKUP(UPI_State_Snapshot_2023_24!B24,'REATIL GSVA WORK'!$C$7:$C$39,'REATIL GSVA WORK'!$J$7:$J$39)</f>
        <v>Low Size</v>
      </c>
      <c r="G24" t="str">
        <f t="shared" si="1"/>
        <v>Low Adoption &amp; Low Maturity</v>
      </c>
    </row>
    <row r="25" spans="1:7" x14ac:dyDescent="0.35">
      <c r="A25">
        <v>24</v>
      </c>
      <c r="B25" t="s">
        <v>127</v>
      </c>
      <c r="C25">
        <v>34537.519999999997</v>
      </c>
      <c r="D25">
        <f t="shared" si="0"/>
        <v>0.20965598003431551</v>
      </c>
      <c r="E25" t="str">
        <f>_xlfn.XLOOKUP(UPI_State_Snapshot_2023_24!B25,'REATIL GSVA WORK'!$C$7:$C$39,'REATIL GSVA WORK'!$I$7:$I$39)</f>
        <v>Low</v>
      </c>
      <c r="F25" t="str">
        <f>_xlfn.XLOOKUP(UPI_State_Snapshot_2023_24!B25,'REATIL GSVA WORK'!$C$7:$C$39,'REATIL GSVA WORK'!$J$7:$J$39)</f>
        <v>Medium Size</v>
      </c>
      <c r="G25" t="str">
        <f t="shared" si="1"/>
        <v>Low Adoption &amp; Low Maturity</v>
      </c>
    </row>
    <row r="26" spans="1:7" x14ac:dyDescent="0.35">
      <c r="A26">
        <v>25</v>
      </c>
      <c r="B26" t="s">
        <v>128</v>
      </c>
      <c r="C26">
        <v>20812.170000000002</v>
      </c>
      <c r="D26">
        <f t="shared" si="0"/>
        <v>0.12633784643456683</v>
      </c>
      <c r="E26" t="str">
        <f>_xlfn.XLOOKUP(UPI_State_Snapshot_2023_24!B26,'REATIL GSVA WORK'!$C$7:$C$39,'REATIL GSVA WORK'!$I$7:$I$39)</f>
        <v>Low</v>
      </c>
      <c r="F26" t="str">
        <f>_xlfn.XLOOKUP(UPI_State_Snapshot_2023_24!B26,'REATIL GSVA WORK'!$C$7:$C$39,'REATIL GSVA WORK'!$J$7:$J$39)</f>
        <v>Low Size</v>
      </c>
      <c r="G26" t="str">
        <f t="shared" si="1"/>
        <v>Low Adoption &amp; Low Maturity</v>
      </c>
    </row>
    <row r="27" spans="1:7" x14ac:dyDescent="0.35">
      <c r="A27">
        <v>26</v>
      </c>
      <c r="B27" t="s">
        <v>130</v>
      </c>
      <c r="C27">
        <v>20423.699999999997</v>
      </c>
      <c r="D27">
        <f t="shared" si="0"/>
        <v>0.12397968468572293</v>
      </c>
      <c r="E27" t="str">
        <f>_xlfn.XLOOKUP(UPI_State_Snapshot_2023_24!B27,'REATIL GSVA WORK'!$C$7:$C$39,'REATIL GSVA WORK'!$I$7:$I$39)</f>
        <v>Low</v>
      </c>
      <c r="F27" t="str">
        <f>_xlfn.XLOOKUP(UPI_State_Snapshot_2023_24!B27,'REATIL GSVA WORK'!$C$7:$C$39,'REATIL GSVA WORK'!$J$7:$J$39)</f>
        <v>Low Size</v>
      </c>
      <c r="G27" t="str">
        <f t="shared" si="1"/>
        <v>Low Adoption &amp; Low Maturity</v>
      </c>
    </row>
    <row r="28" spans="1:7" x14ac:dyDescent="0.35">
      <c r="A28">
        <v>27</v>
      </c>
      <c r="B28" t="s">
        <v>132</v>
      </c>
      <c r="C28">
        <v>15898.01</v>
      </c>
      <c r="D28">
        <f t="shared" si="0"/>
        <v>9.6507012291135799E-2</v>
      </c>
      <c r="E28" t="str">
        <f>_xlfn.XLOOKUP(UPI_State_Snapshot_2023_24!B28,'REATIL GSVA WORK'!$C$7:$C$39,'REATIL GSVA WORK'!$I$7:$I$39)</f>
        <v>High</v>
      </c>
      <c r="F28" t="str">
        <f>_xlfn.XLOOKUP(UPI_State_Snapshot_2023_24!B28,'REATIL GSVA WORK'!$C$7:$C$39,'REATIL GSVA WORK'!$J$7:$J$39)</f>
        <v>Low Size</v>
      </c>
      <c r="G28" t="str">
        <f t="shared" si="1"/>
        <v>Emerging Growth Market</v>
      </c>
    </row>
    <row r="29" spans="1:7" x14ac:dyDescent="0.35">
      <c r="A29">
        <v>28</v>
      </c>
      <c r="B29" t="s">
        <v>133</v>
      </c>
      <c r="C29">
        <v>14470.89</v>
      </c>
      <c r="D29">
        <f t="shared" ref="D29:D34" si="2">(C29 / SUM($C$2:$C$37))*100</f>
        <v>8.7843847065995934E-2</v>
      </c>
      <c r="E29" t="str">
        <f>_xlfn.XLOOKUP(UPI_State_Snapshot_2023_24!B29,'REATIL GSVA WORK'!$C$7:$C$39,'REATIL GSVA WORK'!$I$7:$I$39)</f>
        <v>High</v>
      </c>
      <c r="F29" t="str">
        <f>_xlfn.XLOOKUP(UPI_State_Snapshot_2023_24!B29,'REATIL GSVA WORK'!$C$7:$C$39,'REATIL GSVA WORK'!$J$7:$J$39)</f>
        <v>Medium Size</v>
      </c>
      <c r="G29" t="str">
        <f t="shared" si="1"/>
        <v>Emerging Growth Market</v>
      </c>
    </row>
    <row r="30" spans="1:7" x14ac:dyDescent="0.35">
      <c r="A30">
        <v>29</v>
      </c>
      <c r="B30" t="s">
        <v>129</v>
      </c>
      <c r="C30">
        <v>15544.12</v>
      </c>
      <c r="D30">
        <f t="shared" si="2"/>
        <v>9.435876439220317E-2</v>
      </c>
      <c r="E30" t="str">
        <f>_xlfn.XLOOKUP(UPI_State_Snapshot_2023_24!B30,'REATIL GSVA WORK'!$C$7:$C$39,'REATIL GSVA WORK'!$I$7:$I$39)</f>
        <v>Medium</v>
      </c>
      <c r="F30" t="str">
        <f>_xlfn.XLOOKUP(UPI_State_Snapshot_2023_24!B30,'REATIL GSVA WORK'!$C$7:$C$39,'REATIL GSVA WORK'!$J$7:$J$39)</f>
        <v>Low Size</v>
      </c>
      <c r="G30" t="str">
        <f t="shared" si="1"/>
        <v>Low Adoption &amp; Low Maturity</v>
      </c>
    </row>
    <row r="31" spans="1:7" x14ac:dyDescent="0.35">
      <c r="A31">
        <v>30</v>
      </c>
      <c r="B31" t="s">
        <v>134</v>
      </c>
      <c r="C31">
        <v>13274.339999999998</v>
      </c>
      <c r="D31">
        <f t="shared" si="2"/>
        <v>8.0580330087647159E-2</v>
      </c>
      <c r="E31" t="str">
        <f>_xlfn.XLOOKUP(UPI_State_Snapshot_2023_24!B31,'REATIL GSVA WORK'!$C$7:$C$39,'REATIL GSVA WORK'!$I$7:$I$39)</f>
        <v>Low</v>
      </c>
      <c r="F31" t="str">
        <f>_xlfn.XLOOKUP(UPI_State_Snapshot_2023_24!B31,'REATIL GSVA WORK'!$C$7:$C$39,'REATIL GSVA WORK'!$J$7:$J$39)</f>
        <v>Low Size</v>
      </c>
      <c r="G31" t="str">
        <f t="shared" si="1"/>
        <v>Low Adoption &amp; Low Maturity</v>
      </c>
    </row>
    <row r="32" spans="1:7" x14ac:dyDescent="0.35">
      <c r="A32">
        <v>31</v>
      </c>
      <c r="B32" t="s">
        <v>136</v>
      </c>
      <c r="C32">
        <v>12088.38</v>
      </c>
      <c r="D32">
        <f t="shared" si="2"/>
        <v>7.3381098467035819E-2</v>
      </c>
      <c r="E32" t="str">
        <f>_xlfn.XLOOKUP(UPI_State_Snapshot_2023_24!B32,'REATIL GSVA WORK'!$C$7:$C$39,'REATIL GSVA WORK'!$I$7:$I$39)</f>
        <v>High</v>
      </c>
      <c r="F32" t="str">
        <f>_xlfn.XLOOKUP(UPI_State_Snapshot_2023_24!B32,'REATIL GSVA WORK'!$C$7:$C$39,'REATIL GSVA WORK'!$J$7:$J$39)</f>
        <v>Low Size</v>
      </c>
      <c r="G32" t="str">
        <f t="shared" si="1"/>
        <v>Emerging Growth Market</v>
      </c>
    </row>
    <row r="33" spans="1:7" x14ac:dyDescent="0.35">
      <c r="A33">
        <v>32</v>
      </c>
      <c r="B33" t="s">
        <v>135</v>
      </c>
      <c r="C33">
        <v>8903.59</v>
      </c>
      <c r="D33">
        <f t="shared" si="2"/>
        <v>5.404820286093881E-2</v>
      </c>
      <c r="E33" t="str">
        <f>_xlfn.XLOOKUP(UPI_State_Snapshot_2023_24!B33,'REATIL GSVA WORK'!$C$7:$C$39,'REATIL GSVA WORK'!$I$7:$I$39)</f>
        <v>High</v>
      </c>
      <c r="F33" t="str">
        <f>_xlfn.XLOOKUP(UPI_State_Snapshot_2023_24!B33,'REATIL GSVA WORK'!$C$7:$C$39,'REATIL GSVA WORK'!$J$7:$J$39)</f>
        <v>Low Size</v>
      </c>
      <c r="G33" t="str">
        <f t="shared" si="1"/>
        <v>Emerging Growth Market</v>
      </c>
    </row>
    <row r="34" spans="1:7" x14ac:dyDescent="0.35">
      <c r="A34">
        <v>33</v>
      </c>
      <c r="B34" t="s">
        <v>137</v>
      </c>
      <c r="C34">
        <v>5306.119999999999</v>
      </c>
      <c r="D34">
        <f t="shared" si="2"/>
        <v>3.2210181529527364E-2</v>
      </c>
      <c r="E34" t="str">
        <f>_xlfn.XLOOKUP(UPI_State_Snapshot_2023_24!B34,'REATIL GSVA WORK'!$C$7:$C$39,'REATIL GSVA WORK'!$I$7:$I$39)</f>
        <v>High</v>
      </c>
      <c r="F34" t="str">
        <f>_xlfn.XLOOKUP(UPI_State_Snapshot_2023_24!B34,'REATIL GSVA WORK'!$C$7:$C$39,'REATIL GSVA WORK'!$J$7:$J$39)</f>
        <v>Low Size</v>
      </c>
      <c r="G34" t="str">
        <f t="shared" si="1"/>
        <v>Emerging Growth Market</v>
      </c>
    </row>
    <row r="39" spans="1:7" x14ac:dyDescent="0.35">
      <c r="B39" t="s">
        <v>151</v>
      </c>
    </row>
    <row r="41" spans="1:7" x14ac:dyDescent="0.35">
      <c r="B41" s="28" t="s">
        <v>172</v>
      </c>
      <c r="C41" s="28" t="s">
        <v>173</v>
      </c>
      <c r="D41" s="28"/>
    </row>
    <row r="42" spans="1:7" ht="29" x14ac:dyDescent="0.35">
      <c r="B42" s="30" t="s">
        <v>164</v>
      </c>
      <c r="C42" s="29" t="s">
        <v>174</v>
      </c>
      <c r="D42" s="29"/>
    </row>
    <row r="43" spans="1:7" ht="29" x14ac:dyDescent="0.35">
      <c r="B43" s="30" t="s">
        <v>165</v>
      </c>
      <c r="C43" s="29" t="s">
        <v>175</v>
      </c>
      <c r="D43" s="29"/>
    </row>
    <row r="44" spans="1:7" x14ac:dyDescent="0.35">
      <c r="B44" s="30" t="s">
        <v>167</v>
      </c>
      <c r="C44" s="29" t="s">
        <v>176</v>
      </c>
      <c r="D44" s="29"/>
    </row>
    <row r="45" spans="1:7" ht="29" x14ac:dyDescent="0.35">
      <c r="B45" s="30" t="s">
        <v>166</v>
      </c>
      <c r="C45" s="29" t="s">
        <v>177</v>
      </c>
      <c r="D45" s="29"/>
    </row>
    <row r="46" spans="1:7" x14ac:dyDescent="0.35">
      <c r="B46" s="30"/>
      <c r="C46" s="29"/>
      <c r="D46" s="2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UPI_ NATIONAL_MONTHLY</vt:lpstr>
      <vt:lpstr>UPI_National_Fin_Annual</vt:lpstr>
      <vt:lpstr>REATIL GSVA WORK</vt:lpstr>
      <vt:lpstr>UPI_Retail_Ratio</vt:lpstr>
      <vt:lpstr>Retail_GSVA_STATES_PIVOT_TABLE</vt:lpstr>
      <vt:lpstr>Retail_GSVA_States</vt:lpstr>
      <vt:lpstr>STATEWISE UPI DATA 2023-24</vt:lpstr>
      <vt:lpstr>UPI_State_Snapshot_2023_24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Sachin Kujur</dc:creator>
  <cp:lastModifiedBy>Aman Sachin Kujur</cp:lastModifiedBy>
  <dcterms:created xsi:type="dcterms:W3CDTF">2025-12-24T09:56:11Z</dcterms:created>
  <dcterms:modified xsi:type="dcterms:W3CDTF">2026-01-29T17:03:46Z</dcterms:modified>
</cp:coreProperties>
</file>